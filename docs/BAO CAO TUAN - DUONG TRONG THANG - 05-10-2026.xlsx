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"/>
    </mc:Choice>
  </mc:AlternateContent>
  <xr:revisionPtr revIDLastSave="0" documentId="13_ncr:1_{D586B02F-C5B2-4AAD-BA31-E7CB44538AB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H Tuan ca nhan (mẫu)" sheetId="1" r:id="rId1"/>
    <sheet name="Thắng" sheetId="6" r:id="rId2"/>
  </sheets>
  <externalReferences>
    <externalReference r:id="rId3"/>
  </externalReferences>
  <definedNames>
    <definedName name="____a1" localSheetId="1" hidden="1">{"'Sheet1'!$L$16"}</definedName>
    <definedName name="____a1" hidden="1">{"'Sheet1'!$L$16"}</definedName>
    <definedName name="___a1" localSheetId="0" hidden="1">{"'Sheet1'!$L$16"}</definedName>
    <definedName name="___a1" localSheetId="1" hidden="1">{"'Sheet1'!$L$16"}</definedName>
    <definedName name="__a1" localSheetId="1" hidden="1">{"'Sheet1'!$L$16"}</definedName>
    <definedName name="__a1" hidden="1">{"'Sheet1'!$L$16"}</definedName>
    <definedName name="_a1" localSheetId="1" hidden="1">{"'Sheet1'!$L$16"}</definedName>
    <definedName name="_a1" hidden="1">{"'Sheet1'!$L$16"}</definedName>
    <definedName name="_xlnm._FilterDatabase" localSheetId="0" hidden="1">'KH Tuan ca nhan (mẫu)'!$A$8:$P$45</definedName>
    <definedName name="_xlnm._FilterDatabase" localSheetId="1" hidden="1">Thắng!$A$8:$R$48</definedName>
    <definedName name="_xlnm.Print_Area" localSheetId="0">'KH Tuan ca nhan (mẫu)'!$A$1:$O$68</definedName>
    <definedName name="_xlnm.Print_Area" localSheetId="1">Thắng!$A$1:$Q$71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6" l="1"/>
  <c r="F42" i="6"/>
  <c r="O42" i="6"/>
  <c r="B57" i="6" l="1"/>
  <c r="O44" i="6"/>
  <c r="L35" i="1" l="1"/>
  <c r="L34" i="1"/>
  <c r="L33" i="1"/>
  <c r="L31" i="1"/>
  <c r="L30" i="1"/>
  <c r="L29" i="1"/>
  <c r="L27" i="1"/>
  <c r="L26" i="1"/>
  <c r="L24" i="1"/>
  <c r="L21" i="1"/>
  <c r="L20" i="1"/>
  <c r="L18" i="1"/>
  <c r="L17" i="1"/>
  <c r="L15" i="1"/>
  <c r="L14" i="1"/>
  <c r="L12" i="1"/>
  <c r="L11" i="1"/>
  <c r="K35" i="1"/>
  <c r="K34" i="1"/>
  <c r="K33" i="1"/>
  <c r="K31" i="1"/>
  <c r="K30" i="1"/>
  <c r="K29" i="1"/>
  <c r="K27" i="1"/>
  <c r="K26" i="1"/>
  <c r="K24" i="1"/>
  <c r="K21" i="1"/>
  <c r="K20" i="1"/>
  <c r="K18" i="1"/>
  <c r="K17" i="1"/>
  <c r="K15" i="1"/>
  <c r="K14" i="1"/>
  <c r="K12" i="1"/>
  <c r="K11" i="1"/>
  <c r="M39" i="1"/>
  <c r="E39" i="1" l="1"/>
  <c r="M41" i="1" l="1"/>
  <c r="B54" i="1" l="1"/>
  <c r="B42" i="1"/>
  <c r="C42" i="1" s="1"/>
  <c r="D42" i="1" s="1"/>
  <c r="E42" i="1" s="1"/>
  <c r="F42" i="1" s="1"/>
  <c r="I42" i="1" s="1"/>
  <c r="J42" i="1" s="1"/>
  <c r="K42" i="1" s="1"/>
  <c r="L42" i="1" s="1"/>
  <c r="M42" i="1" s="1"/>
  <c r="N42" i="1" s="1"/>
  <c r="O42" i="1" s="1"/>
  <c r="E41" i="1"/>
</calcChain>
</file>

<file path=xl/sharedStrings.xml><?xml version="1.0" encoding="utf-8"?>
<sst xmlns="http://schemas.openxmlformats.org/spreadsheetml/2006/main" count="219" uniqueCount="122">
  <si>
    <t>Mẫu 2: KH tuần cá nhân áp dụng cho cấp chuyên viên phòng ban.</t>
  </si>
  <si>
    <t>Đơn vị: Giờ.</t>
  </si>
  <si>
    <t>TT</t>
  </si>
  <si>
    <t>TÊN CÔNG VIỆC</t>
  </si>
  <si>
    <t>THỜI GIAN</t>
  </si>
  <si>
    <t>Tự đánh giá % hoàn thành</t>
  </si>
  <si>
    <t>Đánh giá của Trưởng phòng, bộ phận</t>
  </si>
  <si>
    <t>Định mức</t>
  </si>
  <si>
    <t>Đã sử dụng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</si>
  <si>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</si>
  <si>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</si>
  <si>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</si>
  <si>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</si>
  <si>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</si>
  <si>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</si>
  <si>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</si>
  <si>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</si>
  <si>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</si>
  <si>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</si>
  <si>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</si>
  <si>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</si>
  <si>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</si>
  <si>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</si>
  <si>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</si>
  <si>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I</t>
  </si>
  <si>
    <t>II</t>
  </si>
  <si>
    <t>Tổng cộng:</t>
  </si>
  <si>
    <t>Định mức:</t>
  </si>
  <si>
    <t>Hiệu suất:</t>
  </si>
  <si>
    <t>……., ngày … tháng … năm 20….</t>
  </si>
  <si>
    <t xml:space="preserve">Người lập </t>
  </si>
  <si>
    <t>Phụ trách phòng</t>
  </si>
  <si>
    <t>Ghi chú:</t>
  </si>
  <si>
    <t>- Thêm cột đánh giá tuần của Trưởng phòng, bộ phận để dễ dàng hơn trong đánh giá tháng (Chia việc khó ra nhiều việc nhỏ để làm).</t>
  </si>
  <si>
    <t>- Mẫu nêu trên áp dụng cho các cá nhân từ Phó phòng trở xuống.</t>
  </si>
  <si>
    <t>- Việc đánh giá được thực hiện vào cuối tuần, trên bản KH tuần trước đã lập, song song với việc lập KH tuần mới.</t>
  </si>
  <si>
    <t>- Lưu ý về trình bày:</t>
  </si>
  <si>
    <t>+ Thể hiện in trên file Excel</t>
  </si>
  <si>
    <t>+ In trong giấy A4 (xoay ngang, in  2 mặt nếu KH dài quá 1 trang giấy).</t>
  </si>
  <si>
    <t>- Nội dung các cột:</t>
  </si>
  <si>
    <t>(3): Là thời gian dự kiến để giải quyết toàn bộ công việc; Với các công việc thực hiện hàng tuần thì ghi thời gian sử dụng trong tuần</t>
  </si>
  <si>
    <t>- Cột 9: KH điểu chỉnh đối với những KH đã ghi tuần trước nhưng chưa hoàn thành, phải chuyển sang tuần này</t>
  </si>
  <si>
    <t>- Cột 10: Ghi KH các công việc tuần này, bao gồm cả công việc tuần trước chuyển sang và công việc mới</t>
  </si>
  <si>
    <t>(4): Là tổng thời gian đã sử dụng từ khi bắt đầu công việc đến trước tuần báo cáo</t>
  </si>
  <si>
    <t>(5): Là thời gian đã sử dụng trong tuần để giải quyết công việc.</t>
  </si>
  <si>
    <t>(6): Là ngày giải quyết hoàn thành công việc trong tuần, nếu chưa giải quyết xong bỏ trống.</t>
  </si>
  <si>
    <t>(7): Tự đánh giá của cá nhân, tốc độ giải quyết công việc nhanh hay chậm. Tỉ lệ hoàn thành theo %</t>
  </si>
  <si>
    <t>CÔNG TY:</t>
  </si>
  <si>
    <t>Công việc khác</t>
  </si>
  <si>
    <t>Thực hiện trong tuần</t>
  </si>
  <si>
    <t>Báo cáo công việc thực hiện tuần:  ……..tháng………….từ ngày……...đến ngày……….</t>
  </si>
  <si>
    <t>Công trình SENTOSA Hải Phòng</t>
  </si>
  <si>
    <t>V</t>
  </si>
  <si>
    <t>Công trình cấp nước Thường Tín</t>
  </si>
  <si>
    <t>Công trình nhà thi đấu Thái Nguyên</t>
  </si>
  <si>
    <t>VII</t>
  </si>
  <si>
    <t>Họp giao ban</t>
  </si>
  <si>
    <t>Kiểm tra dự án</t>
  </si>
  <si>
    <t>….</t>
  </si>
  <si>
    <t>Ngày hoàn thành dự kiến</t>
  </si>
  <si>
    <r>
      <t>Kế hoạch tuần:…..</t>
    </r>
    <r>
      <rPr>
        <sz val="11"/>
        <rFont val="Times New Roman"/>
        <family val="1"/>
      </rPr>
      <t>tháng…..từ ngày…...đến ngày……</t>
    </r>
  </si>
  <si>
    <t>(8): Đánh giá của trưởng bộ phận, phụ trách bộ phận. Đạt / Không đạt</t>
  </si>
  <si>
    <t>(11): Tương tự cột (3)</t>
  </si>
  <si>
    <t>(12): Là tổng thời gian đã sử dụng từ khi bắt đầu công việc đến hết tuần báo cáo (12=4+5)</t>
  </si>
  <si>
    <t>(13): Là thời gian dự kiến sử dụng trong tuần tiếp theo để thực hiện công việc</t>
  </si>
  <si>
    <t>(14): Là mốc thời gian dự kiến hoàn thành xong toàn bộ công việc (Mốc này dự kiến từ khi bắt đầu triển khai thực hiện công việc)</t>
  </si>
  <si>
    <t>Ghi chú</t>
  </si>
  <si>
    <t>Mốc dự kiến hoàn thành</t>
  </si>
  <si>
    <t>Thời gian dự kiến thực hiện</t>
  </si>
  <si>
    <t>Ngày bắt đầu</t>
  </si>
  <si>
    <t>A</t>
  </si>
  <si>
    <t>B</t>
  </si>
  <si>
    <t>DỰ ÁN THẦU</t>
  </si>
  <si>
    <t>CÔNG VIỆC KHÁC</t>
  </si>
  <si>
    <t>Công trình A08 (phạm vi đặt chờ)</t>
  </si>
  <si>
    <t>CÔNG TY: CỔ PHẦN TMĐT PHÁT TRIỂN CÔNG NGHỆ VIỆT</t>
  </si>
  <si>
    <t>ĐƠN VỊ: PHÒNG DỰ ÁN</t>
  </si>
  <si>
    <t>Tổng định mức</t>
  </si>
  <si>
    <t>(16)</t>
  </si>
  <si>
    <t>(17)</t>
  </si>
  <si>
    <t>DỰ ÁN ĐANG THỰC HIỆN</t>
  </si>
  <si>
    <t>C</t>
  </si>
  <si>
    <t>(3): Là thời gian bắt đầu thực hiện công việc được giao; Với các công việc thực hiện hàng tuần không cần ghi mục này chỉ cần ghi mục (6)</t>
  </si>
  <si>
    <t>(4): Là thời gian dự kiến để giải quyết toàn bộ công việc; Tổng định mức = (Ngày kết thúc - ngày bắt đầu +1)x8h</t>
  </si>
  <si>
    <t>(5): Là tổng thời gian lũy kế đã sử dụng từ khi bắt đầu công việc đến trước tuần báo cáo</t>
  </si>
  <si>
    <t>(6): Là thời gian đã sử dụng trong tuần để giải quyết công việc.</t>
  </si>
  <si>
    <t>(7): Là ngày giải quyết hoàn thành công việc dự kiến;</t>
  </si>
  <si>
    <t>(8): Tự đánh giá của cá nhân, tốc độ giải quyết công việc nhanh hay chậm. Tỉ lệ hoàn thành theo %</t>
  </si>
  <si>
    <t>(9): Đánh giá của trưởng bộ phận, phụ trách bộ phận. Đạt / Không đạt</t>
  </si>
  <si>
    <t>(12), (13): Tương tự cột (3), (4)</t>
  </si>
  <si>
    <t>(14): Là tổng thời gian đã sử dụng từ khi bắt đầu công việc đến hết tuần báo cáo (12=5+6)</t>
  </si>
  <si>
    <t>(15): Là thời gian dự kiến sử dụng trong tuần tiếp theo để thực hiện công việc</t>
  </si>
  <si>
    <t>(16): Là mốc thời gian dự kiến hoàn thành xong toàn bộ công việc (Mốc này dự kiến từ khi bắt đầu triển khai thực hiện công việc)</t>
  </si>
  <si>
    <t>NOXH Bắc Giang</t>
  </si>
  <si>
    <t>ĐƠN VỊ: Phòng dự án</t>
  </si>
  <si>
    <t>Họ và tên: Dương Trọng Thắng</t>
  </si>
  <si>
    <t>KẾ HOẠCH CÁ NHÂN TUẦN……..THÁNG 10 NĂM 2025</t>
  </si>
  <si>
    <t>Dự án VNTECH ERP</t>
  </si>
  <si>
    <t>Dự án Lisp MTO</t>
  </si>
  <si>
    <t>KẾ HOẠCH CÁ NHÂN TUẦN (từ 29/09/2026 đến 05/10/2026)</t>
  </si>
  <si>
    <t>Kế hoạch tuần: từ ngày 06/10/2026 đến ngày 12/10/2026</t>
  </si>
  <si>
    <t>KIỂM CHỨNG END-TO-END 4 LỖI 500 (phụ thuộc việc triển khai)</t>
  </si>
  <si>
    <t>Sửa lỗi phân quyền người dùng: gán quyền sai nguồn (-003); xoá quyền thiếu kiểm tra tồn tại (20261010); trả thành công oan (20261011); đánh dấu xử lý ghi sai thời gian (-008)</t>
  </si>
  <si>
    <t>Kiểm thử trọn luồng mua hàng WF-MUAHANG-01: 26/28 bước đạt; 12 phiếu chạy tới hoàn tất; đổi người duyệt trên 5 tài khoản</t>
  </si>
  <si>
    <t>KHẮC PHỤC LỖI F2: giao nhận không kiểm trạng thái đơn mua (đã định vị 3 bài kiểm thử)</t>
  </si>
  <si>
    <t>Kiểm toán chất lượng: bao phủ 214 chức năng; quét 5 dạng lỗi trên 38 vị trí; gọi 49 chức năng sai định dạng đều đạt</t>
  </si>
  <si>
    <t>BỔ SUNG DỮ LIỆU KIỂM THỬ: phiếu kiểm kê kho, cấu hình thông báo web</t>
  </si>
  <si>
    <t>Kiểm thử vòng đời &amp; hồi quy: 11 cặp tạo – sửa – xoá; kiểm 94 nhóm dữ liệu nền; hồi quy 156/156 bài kiểm thử đạt</t>
  </si>
  <si>
    <t>Giao diện &amp; vệ sinh dữ liệu: sửa kích thước thẻ tab 2 hộp thoại; rà 10 nhóm quan hệ (8 sạch); kiểm kê bộ dữ liệu kiểm thử</t>
  </si>
  <si>
    <t>TRIỂN KHAI 9 BẢN VÁ (chờ đẩy lên hệ thống) – giải quyết được 4 lỗi HTTP 500</t>
  </si>
  <si>
    <t>DỌN DẸP DỮ LIỆU test : 6 phiếu kẹt kho trung chuyển, 570 dòng quyền mồ côi, 4 PO chờ phát hành</t>
  </si>
  <si>
    <t>KIỂM THỬ THỰC TẾ : luồng mua hàng nhiều tài khoản, báo lỗi – góp ý, thông báo web, xuất – nhập kho, cấp phát – hoàn trả</t>
  </si>
  <si>
    <t>Sửa 9 lỗi hệ thống (4 lỗi HTTP 500): BUG-20260905-012, -013, -015</t>
  </si>
  <si>
    <t>Sửa lỗi kho – hợp đồng: trả hàng không ghi sổ kho (BUG-20260905-005); xoá nhóm vật tư để lại nhóm con mồ côi (-014)</t>
  </si>
  <si>
    <t>Thực hiện tuần: từ ngày 28/09/2026 đến ngày 04/10/2026</t>
  </si>
  <si>
    <t>Deploy server, cập nhật phiên bản mới.</t>
  </si>
  <si>
    <t>MTO – Xây dựng chức năng lõi: danh sách, chi tiết, thêm / sửa / xoá và phân quyền</t>
  </si>
  <si>
    <t>MTO – Nhập dữ liệu thử nghiệm và tổ chức kiểm thử với người dùng thực tế</t>
  </si>
  <si>
    <t>MTO – Kiểm thử &amp; tài liệu: chạy thử các luồng chính, soát lỗi, viết hướng dẫn sử dụng</t>
  </si>
  <si>
    <t>MTO – Sửa lỗi sau kiểm thử, hoàn thiện tài liệu bàn giao</t>
  </si>
  <si>
    <t>MTO – Xây dựng tính năng bóc tách bằng panel</t>
  </si>
  <si>
    <t>MTO – Chốt phản hồi &amp; thiết kế dữ liệu: rà soát yêu cầu nghiệp vụ, chốt lược đồ và các bảng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</si>
</sst>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Tuần thứ &quot;0"/>
    <numFmt numFmtId="165" formatCode="_(* #,##0_);_(* \(#,##0\);_(* &quot;-&quot;??_);_(@_)"/>
    <numFmt numFmtId="166" formatCode="dd/mm/yyyy"/>
  </numFmts>
  <fonts count="15"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i/>
      <sz val="10.5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96">
    <xf numFmtId="0" fontId="0" fillId="0" borderId="0" xfId="0"/>
    <xf numFmtId="0" fontId="2" fillId="0" borderId="0" xfId="2" applyFont="1"/>
    <xf numFmtId="0" fontId="4" fillId="0" borderId="0" xfId="3" applyFont="1" applyAlignment="1">
      <alignment horizontal="right" vertical="center"/>
    </xf>
    <xf numFmtId="0" fontId="5" fillId="0" borderId="0" xfId="2" quotePrefix="1" applyFont="1"/>
    <xf numFmtId="0" fontId="6" fillId="0" borderId="0" xfId="2" applyFont="1"/>
    <xf numFmtId="0" fontId="7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 vertical="center"/>
    </xf>
    <xf numFmtId="164" fontId="6" fillId="0" borderId="0" xfId="2" applyNumberFormat="1" applyFont="1"/>
    <xf numFmtId="14" fontId="6" fillId="0" borderId="0" xfId="1" applyNumberFormat="1" applyFont="1"/>
    <xf numFmtId="0" fontId="5" fillId="0" borderId="0" xfId="2" applyFont="1"/>
    <xf numFmtId="0" fontId="6" fillId="0" borderId="0" xfId="2" applyFont="1" applyAlignment="1">
      <alignment vertic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0" fontId="2" fillId="2" borderId="0" xfId="2" applyFont="1" applyFill="1"/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16" fontId="2" fillId="0" borderId="0" xfId="2" applyNumberFormat="1" applyFont="1"/>
    <xf numFmtId="0" fontId="2" fillId="0" borderId="9" xfId="2" quotePrefix="1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top" wrapText="1"/>
    </xf>
    <xf numFmtId="0" fontId="5" fillId="0" borderId="8" xfId="2" applyFont="1" applyBorder="1" applyAlignment="1">
      <alignment horizontal="left" vertical="top" wrapText="1"/>
    </xf>
    <xf numFmtId="1" fontId="5" fillId="0" borderId="8" xfId="2" applyNumberFormat="1" applyFont="1" applyBorder="1" applyAlignment="1">
      <alignment horizontal="right" vertical="top"/>
    </xf>
    <xf numFmtId="0" fontId="5" fillId="0" borderId="8" xfId="2" applyFont="1" applyBorder="1" applyAlignment="1">
      <alignment horizontal="right" vertical="top"/>
    </xf>
    <xf numFmtId="0" fontId="5" fillId="0" borderId="8" xfId="2" applyFont="1" applyBorder="1" applyAlignment="1">
      <alignment vertical="top"/>
    </xf>
    <xf numFmtId="1" fontId="8" fillId="0" borderId="0" xfId="2" applyNumberFormat="1" applyFont="1" applyAlignment="1">
      <alignment vertical="top"/>
    </xf>
    <xf numFmtId="0" fontId="8" fillId="0" borderId="0" xfId="2" applyFont="1" applyAlignment="1">
      <alignment vertical="top"/>
    </xf>
    <xf numFmtId="0" fontId="5" fillId="0" borderId="14" xfId="2" applyFont="1" applyBorder="1" applyAlignment="1">
      <alignment horizontal="center" vertical="top"/>
    </xf>
    <xf numFmtId="0" fontId="6" fillId="0" borderId="14" xfId="2" applyFont="1" applyBorder="1" applyAlignment="1">
      <alignment horizontal="left" vertical="top" wrapText="1"/>
    </xf>
    <xf numFmtId="0" fontId="6" fillId="0" borderId="14" xfId="2" quotePrefix="1" applyFont="1" applyBorder="1" applyAlignment="1">
      <alignment horizontal="right" vertical="top"/>
    </xf>
    <xf numFmtId="1" fontId="6" fillId="0" borderId="14" xfId="2" applyNumberFormat="1" applyFont="1" applyBorder="1" applyAlignment="1">
      <alignment horizontal="right" vertical="center"/>
    </xf>
    <xf numFmtId="0" fontId="6" fillId="0" borderId="14" xfId="2" quotePrefix="1" applyFont="1" applyBorder="1" applyAlignment="1">
      <alignment horizontal="right" vertical="center"/>
    </xf>
    <xf numFmtId="0" fontId="2" fillId="0" borderId="0" xfId="2" applyFont="1" applyAlignment="1">
      <alignment vertical="top"/>
    </xf>
    <xf numFmtId="0" fontId="6" fillId="0" borderId="14" xfId="2" quotePrefix="1" applyFont="1" applyBorder="1" applyAlignment="1">
      <alignment horizontal="right"/>
    </xf>
    <xf numFmtId="0" fontId="5" fillId="0" borderId="14" xfId="2" applyFont="1" applyBorder="1" applyAlignment="1">
      <alignment horizontal="center"/>
    </xf>
    <xf numFmtId="0" fontId="5" fillId="0" borderId="14" xfId="2" applyFont="1" applyBorder="1" applyAlignment="1">
      <alignment horizontal="center" vertical="top" wrapText="1"/>
    </xf>
    <xf numFmtId="0" fontId="5" fillId="0" borderId="14" xfId="2" applyFont="1" applyBorder="1" applyAlignment="1">
      <alignment horizontal="center" wrapText="1"/>
    </xf>
    <xf numFmtId="0" fontId="2" fillId="3" borderId="14" xfId="2" applyFont="1" applyFill="1" applyBorder="1" applyAlignment="1">
      <alignment vertical="center" wrapText="1"/>
    </xf>
    <xf numFmtId="0" fontId="8" fillId="0" borderId="14" xfId="2" applyFont="1" applyBorder="1" applyAlignment="1">
      <alignment vertical="top"/>
    </xf>
    <xf numFmtId="0" fontId="2" fillId="0" borderId="14" xfId="2" applyFont="1" applyBorder="1" applyAlignment="1">
      <alignment vertical="top"/>
    </xf>
    <xf numFmtId="0" fontId="2" fillId="0" borderId="14" xfId="2" applyFont="1" applyBorder="1"/>
    <xf numFmtId="0" fontId="6" fillId="0" borderId="9" xfId="2" applyFont="1" applyBorder="1" applyAlignment="1">
      <alignment vertical="top"/>
    </xf>
    <xf numFmtId="0" fontId="6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right" vertical="top"/>
    </xf>
    <xf numFmtId="1" fontId="6" fillId="0" borderId="9" xfId="2" applyNumberFormat="1" applyFont="1" applyBorder="1" applyAlignment="1">
      <alignment horizontal="right" vertical="top"/>
    </xf>
    <xf numFmtId="9" fontId="6" fillId="0" borderId="9" xfId="2" applyNumberFormat="1" applyFont="1" applyBorder="1" applyAlignment="1">
      <alignment horizontal="right" vertical="top"/>
    </xf>
    <xf numFmtId="0" fontId="8" fillId="0" borderId="0" xfId="2" applyFont="1"/>
    <xf numFmtId="0" fontId="9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12" fillId="0" borderId="0" xfId="2" applyFont="1"/>
    <xf numFmtId="43" fontId="13" fillId="0" borderId="0" xfId="1" applyFont="1" applyAlignment="1">
      <alignment horizontal="left"/>
    </xf>
    <xf numFmtId="43" fontId="12" fillId="0" borderId="0" xfId="2" applyNumberFormat="1" applyFont="1"/>
    <xf numFmtId="43" fontId="5" fillId="0" borderId="0" xfId="1" quotePrefix="1" applyFont="1" applyAlignment="1">
      <alignment horizontal="left"/>
    </xf>
    <xf numFmtId="43" fontId="5" fillId="0" borderId="0" xfId="2" applyNumberFormat="1" applyFont="1"/>
    <xf numFmtId="43" fontId="2" fillId="0" borderId="0" xfId="1" quotePrefix="1" applyFont="1" applyAlignment="1">
      <alignment horizontal="left"/>
    </xf>
    <xf numFmtId="43" fontId="2" fillId="0" borderId="0" xfId="2" applyNumberFormat="1" applyFont="1"/>
    <xf numFmtId="0" fontId="2" fillId="0" borderId="0" xfId="2" quotePrefix="1" applyFont="1"/>
    <xf numFmtId="0" fontId="2" fillId="0" borderId="0" xfId="2" quotePrefix="1" applyFont="1" applyAlignment="1">
      <alignment horizontal="left"/>
    </xf>
    <xf numFmtId="43" fontId="2" fillId="0" borderId="0" xfId="1" applyFont="1"/>
    <xf numFmtId="16" fontId="6" fillId="0" borderId="14" xfId="2" quotePrefix="1" applyNumberFormat="1" applyFont="1" applyBorder="1" applyAlignment="1">
      <alignment horizontal="right" vertical="center"/>
    </xf>
    <xf numFmtId="1" fontId="6" fillId="0" borderId="14" xfId="2" applyNumberFormat="1" applyFont="1" applyBorder="1" applyAlignment="1">
      <alignment horizontal="center" vertical="center"/>
    </xf>
    <xf numFmtId="0" fontId="6" fillId="0" borderId="14" xfId="2" quotePrefix="1" applyFont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0" fontId="5" fillId="4" borderId="0" xfId="2" applyFont="1" applyFill="1"/>
    <xf numFmtId="0" fontId="6" fillId="4" borderId="0" xfId="2" applyFont="1" applyFill="1"/>
    <xf numFmtId="0" fontId="6" fillId="4" borderId="0" xfId="2" applyFont="1" applyFill="1" applyAlignment="1">
      <alignment vertical="center"/>
    </xf>
    <xf numFmtId="4" fontId="6" fillId="4" borderId="0" xfId="2" applyNumberFormat="1" applyFont="1" applyFill="1"/>
    <xf numFmtId="0" fontId="5" fillId="0" borderId="14" xfId="2" applyFont="1" applyBorder="1" applyAlignment="1">
      <alignment horizontal="left" vertical="top" wrapText="1"/>
    </xf>
    <xf numFmtId="1" fontId="5" fillId="0" borderId="14" xfId="2" applyNumberFormat="1" applyFont="1" applyBorder="1" applyAlignment="1">
      <alignment horizontal="right" vertical="top"/>
    </xf>
    <xf numFmtId="0" fontId="5" fillId="0" borderId="14" xfId="2" applyFont="1" applyBorder="1" applyAlignment="1">
      <alignment horizontal="right" vertical="top"/>
    </xf>
    <xf numFmtId="0" fontId="5" fillId="0" borderId="14" xfId="2" applyFont="1" applyBorder="1" applyAlignment="1">
      <alignment vertical="top"/>
    </xf>
    <xf numFmtId="0" fontId="2" fillId="0" borderId="11" xfId="2" applyFont="1" applyBorder="1" applyAlignment="1">
      <alignment vertical="top"/>
    </xf>
    <xf numFmtId="0" fontId="2" fillId="3" borderId="11" xfId="2" applyFont="1" applyFill="1" applyBorder="1" applyAlignment="1">
      <alignment vertical="center" wrapText="1"/>
    </xf>
    <xf numFmtId="1" fontId="6" fillId="0" borderId="11" xfId="2" applyNumberFormat="1" applyFont="1" applyBorder="1" applyAlignment="1">
      <alignment horizontal="right"/>
    </xf>
    <xf numFmtId="0" fontId="2" fillId="3" borderId="11" xfId="2" applyFont="1" applyFill="1" applyBorder="1" applyAlignment="1">
      <alignment horizontal="right"/>
    </xf>
    <xf numFmtId="0" fontId="6" fillId="0" borderId="11" xfId="2" quotePrefix="1" applyFont="1" applyBorder="1" applyAlignment="1">
      <alignment horizontal="right"/>
    </xf>
    <xf numFmtId="0" fontId="2" fillId="0" borderId="11" xfId="2" applyFont="1" applyBorder="1"/>
    <xf numFmtId="0" fontId="6" fillId="0" borderId="11" xfId="2" quotePrefix="1" applyFont="1" applyBorder="1" applyAlignment="1">
      <alignment horizontal="right" vertical="center"/>
    </xf>
    <xf numFmtId="43" fontId="6" fillId="0" borderId="0" xfId="1" applyFont="1"/>
    <xf numFmtId="43" fontId="5" fillId="0" borderId="0" xfId="1" applyFont="1" applyAlignment="1">
      <alignment horizontal="left" vertical="center"/>
    </xf>
    <xf numFmtId="43" fontId="6" fillId="4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43" fontId="6" fillId="0" borderId="12" xfId="1" applyFont="1" applyBorder="1" applyAlignment="1">
      <alignment horizontal="center" vertical="center" wrapText="1"/>
    </xf>
    <xf numFmtId="43" fontId="2" fillId="0" borderId="9" xfId="1" quotePrefix="1" applyFont="1" applyBorder="1" applyAlignment="1">
      <alignment horizontal="center" vertical="center" wrapText="1"/>
    </xf>
    <xf numFmtId="43" fontId="5" fillId="0" borderId="8" xfId="1" applyFont="1" applyBorder="1" applyAlignment="1">
      <alignment horizontal="right" vertical="top"/>
    </xf>
    <xf numFmtId="43" fontId="6" fillId="0" borderId="14" xfId="1" applyFont="1" applyBorder="1" applyAlignment="1">
      <alignment horizontal="right" vertical="center"/>
    </xf>
    <xf numFmtId="43" fontId="6" fillId="0" borderId="11" xfId="1" applyFont="1" applyBorder="1" applyAlignment="1">
      <alignment horizontal="right" vertical="center"/>
    </xf>
    <xf numFmtId="43" fontId="6" fillId="0" borderId="9" xfId="1" applyFont="1" applyBorder="1" applyAlignment="1">
      <alignment horizontal="right" vertical="top"/>
    </xf>
    <xf numFmtId="43" fontId="5" fillId="0" borderId="0" xfId="1" applyFont="1"/>
    <xf numFmtId="43" fontId="11" fillId="0" borderId="0" xfId="1" applyFont="1" applyAlignment="1">
      <alignment horizontal="center"/>
    </xf>
    <xf numFmtId="43" fontId="5" fillId="0" borderId="0" xfId="1" applyFont="1" applyAlignment="1">
      <alignment horizontal="center"/>
    </xf>
    <xf numFmtId="43" fontId="12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quotePrefix="1" applyFont="1"/>
    <xf numFmtId="43" fontId="5" fillId="0" borderId="14" xfId="1" applyFont="1" applyBorder="1" applyAlignment="1">
      <alignment horizontal="right" vertical="top"/>
    </xf>
    <xf numFmtId="43" fontId="6" fillId="0" borderId="14" xfId="1" applyFont="1" applyBorder="1" applyAlignment="1">
      <alignment horizontal="center" vertical="center"/>
    </xf>
    <xf numFmtId="43" fontId="2" fillId="3" borderId="14" xfId="1" applyFont="1" applyFill="1" applyBorder="1" applyAlignment="1">
      <alignment horizontal="right" vertical="center"/>
    </xf>
    <xf numFmtId="43" fontId="2" fillId="3" borderId="11" xfId="1" applyFont="1" applyFill="1" applyBorder="1" applyAlignment="1">
      <alignment horizontal="right" vertical="center"/>
    </xf>
    <xf numFmtId="43" fontId="10" fillId="0" borderId="0" xfId="1" applyFont="1" applyAlignment="1">
      <alignment horizontal="center"/>
    </xf>
    <xf numFmtId="43" fontId="12" fillId="0" borderId="0" xfId="1" applyFont="1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14" fontId="6" fillId="0" borderId="0" xfId="2" applyNumberFormat="1" applyFont="1" applyAlignment="1">
      <alignment horizontal="center" vertical="center"/>
    </xf>
    <xf numFmtId="0" fontId="2" fillId="0" borderId="0" xfId="2" applyFont="1" applyAlignment="1">
      <alignment vertical="center"/>
    </xf>
    <xf numFmtId="0" fontId="6" fillId="0" borderId="0" xfId="2" applyFont="1" applyAlignment="1">
      <alignment horizontal="center"/>
    </xf>
    <xf numFmtId="0" fontId="2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center" vertical="center" wrapText="1"/>
    </xf>
    <xf numFmtId="14" fontId="2" fillId="0" borderId="0" xfId="2" applyNumberFormat="1" applyFont="1"/>
    <xf numFmtId="0" fontId="5" fillId="0" borderId="0" xfId="2" quotePrefix="1" applyFont="1" applyAlignment="1">
      <alignment horizontal="left" vertical="top"/>
    </xf>
    <xf numFmtId="14" fontId="6" fillId="0" borderId="0" xfId="2" applyNumberFormat="1" applyFont="1"/>
    <xf numFmtId="43" fontId="6" fillId="0" borderId="0" xfId="1" applyFont="1" applyFill="1" applyAlignment="1">
      <alignment vertical="center"/>
    </xf>
    <xf numFmtId="4" fontId="6" fillId="0" borderId="0" xfId="2" applyNumberFormat="1" applyFont="1"/>
    <xf numFmtId="14" fontId="2" fillId="0" borderId="9" xfId="2" quotePrefix="1" applyNumberFormat="1" applyFont="1" applyBorder="1" applyAlignment="1">
      <alignment horizontal="center" vertical="center" wrapText="1"/>
    </xf>
    <xf numFmtId="165" fontId="2" fillId="0" borderId="9" xfId="1" quotePrefix="1" applyNumberFormat="1" applyFont="1" applyBorder="1" applyAlignment="1">
      <alignment horizontal="center" vertical="center" wrapText="1"/>
    </xf>
    <xf numFmtId="16" fontId="5" fillId="0" borderId="0" xfId="2" applyNumberFormat="1" applyFont="1"/>
    <xf numFmtId="1" fontId="2" fillId="0" borderId="0" xfId="2" applyNumberFormat="1" applyFont="1" applyAlignment="1">
      <alignment vertical="center"/>
    </xf>
    <xf numFmtId="1" fontId="8" fillId="5" borderId="0" xfId="2" applyNumberFormat="1" applyFont="1" applyFill="1" applyAlignment="1">
      <alignment vertical="top"/>
    </xf>
    <xf numFmtId="0" fontId="8" fillId="5" borderId="0" xfId="2" applyFont="1" applyFill="1" applyAlignment="1">
      <alignment vertical="top"/>
    </xf>
    <xf numFmtId="14" fontId="6" fillId="0" borderId="9" xfId="2" applyNumberFormat="1" applyFont="1" applyBorder="1" applyAlignment="1">
      <alignment horizontal="right" vertical="top"/>
    </xf>
    <xf numFmtId="165" fontId="6" fillId="0" borderId="9" xfId="1" applyNumberFormat="1" applyFont="1" applyBorder="1" applyAlignment="1">
      <alignment horizontal="right" vertical="top"/>
    </xf>
    <xf numFmtId="14" fontId="5" fillId="0" borderId="0" xfId="2" applyNumberFormat="1" applyFont="1"/>
    <xf numFmtId="14" fontId="10" fillId="0" borderId="0" xfId="2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4" fontId="12" fillId="0" borderId="0" xfId="2" applyNumberFormat="1" applyFont="1"/>
    <xf numFmtId="14" fontId="2" fillId="0" borderId="0" xfId="2" quotePrefix="1" applyNumberFormat="1" applyFont="1"/>
    <xf numFmtId="0" fontId="2" fillId="0" borderId="0" xfId="2" quotePrefix="1" applyFont="1" applyAlignment="1">
      <alignment horizontal="center"/>
    </xf>
    <xf numFmtId="0" fontId="6" fillId="0" borderId="9" xfId="2" quotePrefix="1" applyFont="1" applyBorder="1" applyAlignment="1">
      <alignment horizontal="center" vertical="center" wrapText="1"/>
    </xf>
    <xf numFmtId="165" fontId="6" fillId="0" borderId="9" xfId="1" applyNumberFormat="1" applyFont="1" applyBorder="1" applyAlignment="1">
      <alignment horizontal="center" vertical="center" wrapText="1"/>
    </xf>
    <xf numFmtId="43" fontId="6" fillId="0" borderId="9" xfId="1" applyFont="1" applyBorder="1" applyAlignment="1">
      <alignment horizontal="center" vertical="center" wrapText="1"/>
    </xf>
    <xf numFmtId="0" fontId="5" fillId="5" borderId="9" xfId="2" quotePrefix="1" applyFont="1" applyFill="1" applyBorder="1" applyAlignment="1">
      <alignment horizontal="center" vertical="center" wrapText="1"/>
    </xf>
    <xf numFmtId="165" fontId="5" fillId="5" borderId="9" xfId="1" quotePrefix="1" applyNumberFormat="1" applyFont="1" applyFill="1" applyBorder="1" applyAlignment="1">
      <alignment horizontal="center" vertical="center" wrapText="1"/>
    </xf>
    <xf numFmtId="43" fontId="5" fillId="5" borderId="9" xfId="1" quotePrefix="1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top" wrapText="1"/>
    </xf>
    <xf numFmtId="0" fontId="5" fillId="0" borderId="9" xfId="2" applyFont="1" applyBorder="1" applyAlignment="1">
      <alignment horizontal="left" vertical="top" wrapText="1"/>
    </xf>
    <xf numFmtId="0" fontId="5" fillId="0" borderId="9" xfId="2" applyFont="1" applyBorder="1" applyAlignment="1">
      <alignment vertical="top"/>
    </xf>
    <xf numFmtId="43" fontId="5" fillId="0" borderId="9" xfId="1" applyFont="1" applyBorder="1" applyAlignment="1">
      <alignment horizontal="right" vertical="top"/>
    </xf>
    <xf numFmtId="0" fontId="5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left" vertical="top" wrapText="1"/>
    </xf>
    <xf numFmtId="1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right" vertical="center"/>
    </xf>
    <xf numFmtId="43" fontId="6" fillId="0" borderId="9" xfId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right" vertical="center"/>
    </xf>
    <xf numFmtId="0" fontId="6" fillId="0" borderId="9" xfId="2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 wrapText="1"/>
    </xf>
    <xf numFmtId="14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/>
    </xf>
    <xf numFmtId="0" fontId="5" fillId="5" borderId="9" xfId="2" applyFont="1" applyFill="1" applyBorder="1" applyAlignment="1">
      <alignment horizontal="left" vertical="top" wrapText="1"/>
    </xf>
    <xf numFmtId="1" fontId="5" fillId="5" borderId="9" xfId="2" applyNumberFormat="1" applyFont="1" applyFill="1" applyBorder="1" applyAlignment="1">
      <alignment horizontal="center" vertical="center"/>
    </xf>
    <xf numFmtId="165" fontId="5" fillId="5" borderId="9" xfId="1" applyNumberFormat="1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43" fontId="5" fillId="5" borderId="9" xfId="1" applyFont="1" applyFill="1" applyBorder="1" applyAlignment="1">
      <alignment horizontal="right" vertical="top"/>
    </xf>
    <xf numFmtId="43" fontId="5" fillId="5" borderId="9" xfId="1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right" vertical="center"/>
    </xf>
    <xf numFmtId="0" fontId="5" fillId="0" borderId="9" xfId="2" quotePrefix="1" applyFont="1" applyBorder="1" applyAlignment="1">
      <alignment horizontal="right" vertical="center"/>
    </xf>
    <xf numFmtId="14" fontId="6" fillId="0" borderId="9" xfId="2" applyNumberFormat="1" applyFont="1" applyBorder="1" applyAlignment="1">
      <alignment horizontal="center" vertical="center" wrapText="1"/>
    </xf>
    <xf numFmtId="14" fontId="5" fillId="5" borderId="9" xfId="2" quotePrefix="1" applyNumberFormat="1" applyFont="1" applyFill="1" applyBorder="1" applyAlignment="1">
      <alignment horizontal="center" vertical="center" wrapText="1"/>
    </xf>
    <xf numFmtId="14" fontId="5" fillId="0" borderId="9" xfId="2" applyNumberFormat="1" applyFont="1" applyBorder="1" applyAlignment="1">
      <alignment horizontal="right" vertical="top"/>
    </xf>
    <xf numFmtId="0" fontId="2" fillId="3" borderId="9" xfId="2" applyFont="1" applyFill="1" applyBorder="1" applyAlignment="1">
      <alignment horizontal="center" vertical="center"/>
    </xf>
    <xf numFmtId="0" fontId="6" fillId="0" borderId="9" xfId="2" quotePrefix="1" applyFont="1" applyBorder="1" applyAlignment="1">
      <alignment horizontal="center"/>
    </xf>
    <xf numFmtId="0" fontId="2" fillId="0" borderId="9" xfId="2" applyFont="1" applyBorder="1" applyAlignment="1">
      <alignment horizontal="center" vertical="center"/>
    </xf>
    <xf numFmtId="14" fontId="6" fillId="0" borderId="9" xfId="2" applyNumberFormat="1" applyFont="1" applyBorder="1" applyAlignment="1">
      <alignment horizontal="right" vertical="center"/>
    </xf>
    <xf numFmtId="0" fontId="8" fillId="5" borderId="9" xfId="2" applyFont="1" applyFill="1" applyBorder="1" applyAlignment="1">
      <alignment horizontal="center" vertical="top"/>
    </xf>
    <xf numFmtId="14" fontId="5" fillId="5" borderId="9" xfId="2" applyNumberFormat="1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center"/>
    </xf>
    <xf numFmtId="0" fontId="8" fillId="0" borderId="9" xfId="2" applyFont="1" applyBorder="1" applyAlignment="1">
      <alignment horizontal="center" vertical="top"/>
    </xf>
    <xf numFmtId="14" fontId="5" fillId="0" borderId="9" xfId="2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center"/>
    </xf>
    <xf numFmtId="165" fontId="5" fillId="0" borderId="9" xfId="1" applyNumberFormat="1" applyFont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/>
    </xf>
    <xf numFmtId="43" fontId="5" fillId="0" borderId="9" xfId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 wrapText="1"/>
    </xf>
    <xf numFmtId="14" fontId="5" fillId="5" borderId="9" xfId="2" applyNumberFormat="1" applyFont="1" applyFill="1" applyBorder="1" applyAlignment="1">
      <alignment horizontal="right" vertical="top"/>
    </xf>
    <xf numFmtId="0" fontId="5" fillId="5" borderId="9" xfId="2" applyFont="1" applyFill="1" applyBorder="1" applyAlignment="1">
      <alignment vertical="top"/>
    </xf>
    <xf numFmtId="43" fontId="6" fillId="5" borderId="9" xfId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14" fontId="6" fillId="0" borderId="0" xfId="2" applyNumberFormat="1" applyFont="1" applyAlignment="1">
      <alignment vertical="center"/>
    </xf>
    <xf numFmtId="14" fontId="2" fillId="0" borderId="9" xfId="1" quotePrefix="1" applyNumberFormat="1" applyFont="1" applyBorder="1" applyAlignment="1">
      <alignment horizontal="center" vertical="center" wrapText="1"/>
    </xf>
    <xf numFmtId="1" fontId="2" fillId="0" borderId="0" xfId="2" applyNumberFormat="1" applyFont="1" applyAlignment="1">
      <alignment vertical="top"/>
    </xf>
    <xf numFmtId="9" fontId="6" fillId="0" borderId="9" xfId="2" applyNumberFormat="1" applyFont="1" applyBorder="1" applyAlignment="1">
      <alignment horizontal="center" vertical="center"/>
    </xf>
    <xf numFmtId="43" fontId="6" fillId="0" borderId="0" xfId="1" applyFont="1" applyAlignment="1">
      <alignment horizontal="center"/>
    </xf>
    <xf numFmtId="0" fontId="12" fillId="0" borderId="0" xfId="2" applyFont="1" applyAlignment="1">
      <alignment horizontal="center" vertical="center"/>
    </xf>
    <xf numFmtId="43" fontId="2" fillId="0" borderId="0" xfId="2" applyNumberFormat="1" applyFont="1" applyAlignment="1">
      <alignment horizontal="center" vertical="center"/>
    </xf>
    <xf numFmtId="0" fontId="2" fillId="0" borderId="0" xfId="2" quotePrefix="1" applyFont="1" applyAlignment="1">
      <alignment horizontal="center" vertical="center"/>
    </xf>
    <xf numFmtId="14" fontId="5" fillId="5" borderId="9" xfId="1" quotePrefix="1" applyNumberFormat="1" applyFont="1" applyFill="1" applyBorder="1" applyAlignment="1">
      <alignment horizontal="center" vertical="center" wrapText="1"/>
    </xf>
    <xf numFmtId="14" fontId="6" fillId="0" borderId="9" xfId="2" quotePrefix="1" applyNumberFormat="1" applyFont="1" applyBorder="1" applyAlignment="1">
      <alignment horizontal="right" vertical="center"/>
    </xf>
    <xf numFmtId="14" fontId="6" fillId="0" borderId="9" xfId="2" quotePrefix="1" applyNumberFormat="1" applyFont="1" applyBorder="1" applyAlignment="1">
      <alignment horizontal="center" vertical="center"/>
    </xf>
    <xf numFmtId="14" fontId="5" fillId="5" borderId="9" xfId="2" quotePrefix="1" applyNumberFormat="1" applyFont="1" applyFill="1" applyBorder="1" applyAlignment="1">
      <alignment horizontal="center" vertical="center"/>
    </xf>
    <xf numFmtId="14" fontId="5" fillId="0" borderId="9" xfId="2" quotePrefix="1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top"/>
    </xf>
    <xf numFmtId="0" fontId="6" fillId="0" borderId="9" xfId="2" applyFont="1" applyBorder="1" applyAlignment="1">
      <alignment vertical="center"/>
    </xf>
    <xf numFmtId="14" fontId="5" fillId="5" borderId="9" xfId="2" quotePrefix="1" applyNumberFormat="1" applyFont="1" applyFill="1" applyBorder="1" applyAlignment="1">
      <alignment horizontal="right" vertical="center"/>
    </xf>
    <xf numFmtId="14" fontId="5" fillId="0" borderId="9" xfId="2" quotePrefix="1" applyNumberFormat="1" applyFont="1" applyBorder="1" applyAlignment="1">
      <alignment horizontal="right" vertical="center"/>
    </xf>
    <xf numFmtId="1" fontId="5" fillId="5" borderId="9" xfId="2" applyNumberFormat="1" applyFont="1" applyFill="1" applyBorder="1" applyAlignment="1">
      <alignment horizontal="center" vertical="top"/>
    </xf>
    <xf numFmtId="1" fontId="6" fillId="0" borderId="9" xfId="2" applyNumberFormat="1" applyFont="1" applyBorder="1" applyAlignment="1">
      <alignment horizontal="center" vertical="top"/>
    </xf>
    <xf numFmtId="43" fontId="6" fillId="0" borderId="0" xfId="1" quotePrefix="1" applyFont="1" applyAlignment="1">
      <alignment horizontal="left"/>
    </xf>
    <xf numFmtId="14" fontId="2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6" fillId="0" borderId="0" xfId="1" applyNumberFormat="1" applyFont="1" applyFill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4" fontId="6" fillId="0" borderId="9" xfId="1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top"/>
    </xf>
    <xf numFmtId="0" fontId="5" fillId="5" borderId="9" xfId="2" quotePrefix="1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 vertical="center"/>
    </xf>
    <xf numFmtId="43" fontId="2" fillId="0" borderId="0" xfId="2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5" fillId="0" borderId="9" xfId="1" applyNumberFormat="1" applyFont="1" applyBorder="1" applyAlignment="1">
      <alignment horizontal="center" vertical="top"/>
    </xf>
    <xf numFmtId="165" fontId="5" fillId="5" borderId="9" xfId="1" applyNumberFormat="1" applyFont="1" applyFill="1" applyBorder="1" applyAlignment="1">
      <alignment horizontal="center" vertical="top"/>
    </xf>
    <xf numFmtId="43" fontId="12" fillId="0" borderId="0" xfId="2" applyNumberFormat="1" applyFont="1" applyAlignment="1">
      <alignment horizontal="center"/>
    </xf>
    <xf numFmtId="165" fontId="12" fillId="0" borderId="0" xfId="1" applyNumberFormat="1" applyFont="1" applyAlignment="1">
      <alignment horizontal="center"/>
    </xf>
    <xf numFmtId="43" fontId="6" fillId="0" borderId="0" xfId="2" applyNumberFormat="1" applyFont="1" applyAlignment="1">
      <alignment horizontal="center"/>
    </xf>
    <xf numFmtId="165" fontId="2" fillId="0" borderId="0" xfId="1" quotePrefix="1" applyNumberFormat="1" applyFont="1" applyAlignment="1">
      <alignment horizontal="center"/>
    </xf>
    <xf numFmtId="0" fontId="6" fillId="0" borderId="9" xfId="2" applyFont="1" applyBorder="1" applyAlignment="1">
      <alignment horizontal="center" vertical="top" wrapText="1"/>
    </xf>
    <xf numFmtId="165" fontId="6" fillId="0" borderId="9" xfId="1" applyNumberFormat="1" applyFont="1" applyFill="1" applyBorder="1" applyAlignment="1">
      <alignment horizontal="center" vertical="top"/>
    </xf>
    <xf numFmtId="43" fontId="6" fillId="0" borderId="9" xfId="1" applyFont="1" applyFill="1" applyBorder="1" applyAlignment="1">
      <alignment horizontal="right" vertical="top"/>
    </xf>
    <xf numFmtId="43" fontId="6" fillId="0" borderId="9" xfId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4" fontId="6" fillId="0" borderId="9" xfId="1" applyNumberFormat="1" applyFont="1" applyFill="1" applyBorder="1" applyAlignment="1">
      <alignment horizontal="center" vertical="center"/>
    </xf>
    <xf numFmtId="165" fontId="6" fillId="0" borderId="9" xfId="1" applyNumberFormat="1" applyFont="1" applyFill="1" applyBorder="1" applyAlignment="1">
      <alignment horizontal="right" vertical="center"/>
    </xf>
    <xf numFmtId="14" fontId="12" fillId="0" borderId="0" xfId="2" applyNumberFormat="1" applyFont="1" applyAlignment="1">
      <alignment horizontal="center" vertical="center"/>
    </xf>
    <xf numFmtId="14" fontId="2" fillId="0" borderId="0" xfId="2" quotePrefix="1" applyNumberFormat="1" applyFont="1" applyAlignment="1">
      <alignment horizontal="center" vertical="center"/>
    </xf>
    <xf numFmtId="14" fontId="10" fillId="0" borderId="0" xfId="2" applyNumberFormat="1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4" fontId="5" fillId="0" borderId="9" xfId="1" applyNumberFormat="1" applyFont="1" applyBorder="1" applyAlignment="1">
      <alignment horizontal="center" vertical="center"/>
    </xf>
    <xf numFmtId="14" fontId="5" fillId="5" borderId="9" xfId="1" applyNumberFormat="1" applyFont="1" applyFill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2" fillId="0" borderId="0" xfId="1" quotePrefix="1" applyNumberFormat="1" applyFont="1" applyAlignment="1">
      <alignment horizontal="center" vertical="center"/>
    </xf>
    <xf numFmtId="14" fontId="6" fillId="0" borderId="9" xfId="2" applyNumberFormat="1" applyFont="1" applyBorder="1" applyAlignment="1">
      <alignment horizontal="center" vertical="top" wrapText="1"/>
    </xf>
    <xf numFmtId="1" fontId="6" fillId="0" borderId="9" xfId="2" applyNumberFormat="1" applyFont="1" applyBorder="1" applyAlignment="1">
      <alignment horizontal="center" vertical="top" wrapText="1"/>
    </xf>
    <xf numFmtId="9" fontId="6" fillId="0" borderId="9" xfId="2" applyNumberFormat="1" applyFont="1" applyBorder="1" applyAlignment="1">
      <alignment horizontal="center" vertical="top" wrapText="1"/>
    </xf>
    <xf numFmtId="14" fontId="6" fillId="0" borderId="9" xfId="1" applyNumberFormat="1" applyFont="1" applyBorder="1" applyAlignment="1">
      <alignment horizontal="center" vertical="top" wrapText="1"/>
    </xf>
    <xf numFmtId="0" fontId="6" fillId="0" borderId="9" xfId="2" quotePrefix="1" applyFont="1" applyBorder="1" applyAlignment="1">
      <alignment horizontal="center" vertical="top" wrapText="1"/>
    </xf>
    <xf numFmtId="0" fontId="6" fillId="0" borderId="9" xfId="2" applyFont="1" applyBorder="1" applyAlignment="1">
      <alignment vertical="top" wrapText="1"/>
    </xf>
    <xf numFmtId="1" fontId="2" fillId="0" borderId="0" xfId="2" applyNumberFormat="1" applyFont="1" applyAlignment="1">
      <alignment vertical="top" wrapText="1"/>
    </xf>
    <xf numFmtId="1" fontId="8" fillId="0" borderId="0" xfId="2" applyNumberFormat="1" applyFont="1" applyAlignment="1">
      <alignment vertical="top" wrapText="1"/>
    </xf>
    <xf numFmtId="43" fontId="6" fillId="0" borderId="9" xfId="1" applyFont="1" applyBorder="1" applyAlignment="1">
      <alignment horizontal="center" vertical="top" wrapText="1"/>
    </xf>
    <xf numFmtId="0" fontId="2" fillId="0" borderId="9" xfId="2" applyFont="1" applyBorder="1" applyAlignment="1">
      <alignment horizontal="center" vertical="top" wrapText="1"/>
    </xf>
    <xf numFmtId="0" fontId="6" fillId="0" borderId="9" xfId="2" quotePrefix="1" applyFont="1" applyBorder="1" applyAlignment="1">
      <alignment horizontal="right" vertical="top" wrapText="1"/>
    </xf>
    <xf numFmtId="165" fontId="6" fillId="0" borderId="9" xfId="1" applyNumberFormat="1" applyFont="1" applyFill="1" applyBorder="1" applyAlignment="1">
      <alignment horizontal="center" vertical="top" wrapText="1"/>
    </xf>
    <xf numFmtId="14" fontId="6" fillId="0" borderId="9" xfId="2" applyNumberFormat="1" applyFont="1" applyBorder="1" applyAlignment="1">
      <alignment horizontal="right" vertical="top" wrapText="1"/>
    </xf>
    <xf numFmtId="14" fontId="6" fillId="0" borderId="9" xfId="1" applyNumberFormat="1" applyFont="1" applyFill="1" applyBorder="1" applyAlignment="1">
      <alignment horizontal="center" vertical="top" wrapText="1"/>
    </xf>
    <xf numFmtId="43" fontId="6" fillId="0" borderId="9" xfId="1" applyFont="1" applyFill="1" applyBorder="1" applyAlignment="1">
      <alignment horizontal="right" vertical="top" wrapText="1"/>
    </xf>
    <xf numFmtId="43" fontId="6" fillId="0" borderId="9" xfId="1" applyFont="1" applyFill="1" applyBorder="1" applyAlignment="1">
      <alignment horizontal="center" vertical="top" wrapText="1"/>
    </xf>
    <xf numFmtId="0" fontId="6" fillId="0" borderId="9" xfId="1" applyNumberFormat="1" applyFont="1" applyBorder="1" applyAlignment="1">
      <alignment horizontal="center" vertical="center" wrapText="1"/>
    </xf>
    <xf numFmtId="0" fontId="6" fillId="0" borderId="9" xfId="1" applyNumberFormat="1" applyFont="1" applyBorder="1" applyAlignment="1">
      <alignment horizontal="center" vertical="top" wrapText="1"/>
    </xf>
    <xf numFmtId="0" fontId="2" fillId="3" borderId="9" xfId="2" applyFont="1" applyFill="1" applyBorder="1" applyAlignment="1">
      <alignment horizontal="center" vertical="top" wrapText="1"/>
    </xf>
    <xf numFmtId="0" fontId="5" fillId="0" borderId="9" xfId="1" applyNumberFormat="1" applyFont="1" applyBorder="1" applyAlignment="1">
      <alignment horizontal="right" vertical="top"/>
    </xf>
    <xf numFmtId="0" fontId="6" fillId="0" borderId="9" xfId="1" applyNumberFormat="1" applyFont="1" applyBorder="1" applyAlignment="1">
      <alignment horizontal="center" vertical="center"/>
    </xf>
    <xf numFmtId="0" fontId="6" fillId="0" borderId="9" xfId="1" applyNumberFormat="1" applyFont="1" applyBorder="1" applyAlignment="1">
      <alignment horizontal="right" vertical="center"/>
    </xf>
    <xf numFmtId="0" fontId="5" fillId="0" borderId="9" xfId="1" applyNumberFormat="1" applyFont="1" applyBorder="1" applyAlignment="1">
      <alignment horizontal="center" vertical="top"/>
    </xf>
    <xf numFmtId="0" fontId="5" fillId="0" borderId="9" xfId="1" applyNumberFormat="1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top" wrapText="1"/>
    </xf>
    <xf numFmtId="0" fontId="5" fillId="0" borderId="15" xfId="2" applyFont="1" applyBorder="1" applyAlignment="1">
      <alignment horizontal="left" vertical="top" wrapText="1"/>
    </xf>
    <xf numFmtId="14" fontId="5" fillId="0" borderId="12" xfId="2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top"/>
    </xf>
    <xf numFmtId="0" fontId="5" fillId="0" borderId="12" xfId="1" applyNumberFormat="1" applyFont="1" applyBorder="1" applyAlignment="1">
      <alignment horizontal="center" vertical="top"/>
    </xf>
    <xf numFmtId="14" fontId="5" fillId="0" borderId="12" xfId="2" applyNumberFormat="1" applyFont="1" applyBorder="1" applyAlignment="1">
      <alignment horizontal="right" vertical="top"/>
    </xf>
    <xf numFmtId="14" fontId="5" fillId="0" borderId="12" xfId="1" applyNumberFormat="1" applyFont="1" applyBorder="1" applyAlignment="1">
      <alignment horizontal="center" vertical="center"/>
    </xf>
    <xf numFmtId="0" fontId="5" fillId="0" borderId="12" xfId="1" applyNumberFormat="1" applyFont="1" applyBorder="1" applyAlignment="1">
      <alignment horizontal="right" vertical="top"/>
    </xf>
    <xf numFmtId="0" fontId="6" fillId="0" borderId="12" xfId="1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14" fontId="6" fillId="0" borderId="12" xfId="2" applyNumberFormat="1" applyFont="1" applyBorder="1" applyAlignment="1">
      <alignment horizontal="center" vertical="center"/>
    </xf>
    <xf numFmtId="0" fontId="5" fillId="0" borderId="12" xfId="2" applyFont="1" applyBorder="1" applyAlignment="1">
      <alignment vertical="top"/>
    </xf>
    <xf numFmtId="166" fontId="6" fillId="0" borderId="9" xfId="2" applyNumberFormat="1" applyFont="1" applyBorder="1" applyAlignment="1">
      <alignment horizontal="center" vertical="top" wrapText="1"/>
    </xf>
    <xf numFmtId="166" fontId="6" fillId="0" borderId="9" xfId="1" applyNumberFormat="1" applyFont="1" applyBorder="1" applyAlignment="1">
      <alignment horizontal="center" vertical="top" wrapText="1"/>
    </xf>
    <xf numFmtId="166" fontId="6" fillId="0" borderId="9" xfId="2" applyNumberFormat="1" applyFont="1" applyBorder="1" applyAlignment="1">
      <alignment horizontal="right" vertical="top" wrapText="1"/>
    </xf>
    <xf numFmtId="0" fontId="6" fillId="0" borderId="9" xfId="2" applyFont="1" applyBorder="1" applyAlignment="1">
      <alignment horizontal="center" vertical="center" wrapText="1"/>
    </xf>
    <xf numFmtId="0" fontId="2" fillId="0" borderId="0" xfId="2" quotePrefix="1" applyFont="1" applyAlignment="1">
      <alignment horizontal="left"/>
    </xf>
    <xf numFmtId="0" fontId="5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10" fontId="6" fillId="0" borderId="9" xfId="5" applyNumberFormat="1" applyFont="1" applyBorder="1" applyAlignment="1">
      <alignment horizontal="center" vertical="top"/>
    </xf>
  </cellXfs>
  <cellStyles count="6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ercent" xfId="5" builtinId="5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dministrator\Documents\Zalo%20Received%20Files\Mau%20KH%20Tuan.ful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Tuan BDH"/>
      <sheetName val="KH Tuan ca nhan"/>
      <sheetName val="Mẫu KH phongban"/>
      <sheetName val="THTuan BDH"/>
    </sheetNames>
    <sheetDataSet>
      <sheetData sheetId="0">
        <row r="31">
          <cell r="A31" t="str">
            <v>+ Fonts chữ sử dụng cho phần nội dung: Times New Roman (Cỡ chữ 10~12).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view="pageBreakPreview" zoomScaleNormal="85" zoomScaleSheetLayoutView="100" workbookViewId="0">
      <selection activeCell="H15" sqref="H15"/>
    </sheetView>
  </sheetViews>
  <sheetFormatPr defaultRowHeight="12.75"/>
  <cols>
    <col min="1" max="1" width="4.7109375" style="1" customWidth="1"/>
    <col min="2" max="2" width="33.42578125" style="1" customWidth="1"/>
    <col min="3" max="3" width="5.42578125" style="1" customWidth="1"/>
    <col min="4" max="4" width="5.7109375" style="1" customWidth="1"/>
    <col min="5" max="5" width="6.140625" style="1" customWidth="1"/>
    <col min="6" max="6" width="9.42578125" style="1" customWidth="1"/>
    <col min="7" max="8" width="9.28515625" style="1" customWidth="1"/>
    <col min="9" max="9" width="3.85546875" style="1" customWidth="1"/>
    <col min="10" max="10" width="47.140625" style="1" customWidth="1"/>
    <col min="11" max="11" width="6.28515625" style="58" customWidth="1"/>
    <col min="12" max="12" width="6.7109375" style="58" customWidth="1"/>
    <col min="13" max="13" width="9.28515625" style="1" customWidth="1"/>
    <col min="14" max="14" width="10.85546875" style="1" customWidth="1"/>
    <col min="15" max="15" width="7.28515625" style="1" customWidth="1"/>
    <col min="16" max="16" width="6.42578125" style="1" customWidth="1"/>
    <col min="17" max="254" width="9.140625" style="1"/>
    <col min="255" max="255" width="3.5703125" style="1" customWidth="1"/>
    <col min="256" max="256" width="33.42578125" style="1" customWidth="1"/>
    <col min="257" max="257" width="5.42578125" style="1" customWidth="1"/>
    <col min="258" max="258" width="5.7109375" style="1" customWidth="1"/>
    <col min="259" max="259" width="6.140625" style="1" customWidth="1"/>
    <col min="260" max="260" width="6.5703125" style="1" customWidth="1"/>
    <col min="261" max="262" width="0" style="1" hidden="1" customWidth="1"/>
    <col min="263" max="263" width="6.5703125" style="1" customWidth="1"/>
    <col min="264" max="264" width="3.85546875" style="1" customWidth="1"/>
    <col min="265" max="265" width="47.140625" style="1" customWidth="1"/>
    <col min="266" max="266" width="6.28515625" style="1" customWidth="1"/>
    <col min="267" max="267" width="0" style="1" hidden="1" customWidth="1"/>
    <col min="268" max="268" width="6.7109375" style="1" customWidth="1"/>
    <col min="269" max="269" width="9.28515625" style="1" customWidth="1"/>
    <col min="270" max="270" width="7.7109375" style="1" customWidth="1"/>
    <col min="271" max="271" width="7.28515625" style="1" customWidth="1"/>
    <col min="272" max="272" width="6.42578125" style="1" customWidth="1"/>
    <col min="273" max="510" width="9.140625" style="1"/>
    <col min="511" max="511" width="3.5703125" style="1" customWidth="1"/>
    <col min="512" max="512" width="33.42578125" style="1" customWidth="1"/>
    <col min="513" max="513" width="5.42578125" style="1" customWidth="1"/>
    <col min="514" max="514" width="5.7109375" style="1" customWidth="1"/>
    <col min="515" max="515" width="6.140625" style="1" customWidth="1"/>
    <col min="516" max="516" width="6.5703125" style="1" customWidth="1"/>
    <col min="517" max="518" width="0" style="1" hidden="1" customWidth="1"/>
    <col min="519" max="519" width="6.5703125" style="1" customWidth="1"/>
    <col min="520" max="520" width="3.85546875" style="1" customWidth="1"/>
    <col min="521" max="521" width="47.140625" style="1" customWidth="1"/>
    <col min="522" max="522" width="6.28515625" style="1" customWidth="1"/>
    <col min="523" max="523" width="0" style="1" hidden="1" customWidth="1"/>
    <col min="524" max="524" width="6.7109375" style="1" customWidth="1"/>
    <col min="525" max="525" width="9.28515625" style="1" customWidth="1"/>
    <col min="526" max="526" width="7.7109375" style="1" customWidth="1"/>
    <col min="527" max="527" width="7.28515625" style="1" customWidth="1"/>
    <col min="528" max="528" width="6.42578125" style="1" customWidth="1"/>
    <col min="529" max="766" width="9.140625" style="1"/>
    <col min="767" max="767" width="3.5703125" style="1" customWidth="1"/>
    <col min="768" max="768" width="33.42578125" style="1" customWidth="1"/>
    <col min="769" max="769" width="5.42578125" style="1" customWidth="1"/>
    <col min="770" max="770" width="5.7109375" style="1" customWidth="1"/>
    <col min="771" max="771" width="6.140625" style="1" customWidth="1"/>
    <col min="772" max="772" width="6.5703125" style="1" customWidth="1"/>
    <col min="773" max="774" width="0" style="1" hidden="1" customWidth="1"/>
    <col min="775" max="775" width="6.5703125" style="1" customWidth="1"/>
    <col min="776" max="776" width="3.85546875" style="1" customWidth="1"/>
    <col min="777" max="777" width="47.140625" style="1" customWidth="1"/>
    <col min="778" max="778" width="6.28515625" style="1" customWidth="1"/>
    <col min="779" max="779" width="0" style="1" hidden="1" customWidth="1"/>
    <col min="780" max="780" width="6.7109375" style="1" customWidth="1"/>
    <col min="781" max="781" width="9.28515625" style="1" customWidth="1"/>
    <col min="782" max="782" width="7.7109375" style="1" customWidth="1"/>
    <col min="783" max="783" width="7.28515625" style="1" customWidth="1"/>
    <col min="784" max="784" width="6.42578125" style="1" customWidth="1"/>
    <col min="785" max="1022" width="9.140625" style="1"/>
    <col min="1023" max="1023" width="3.5703125" style="1" customWidth="1"/>
    <col min="1024" max="1024" width="33.42578125" style="1" customWidth="1"/>
    <col min="1025" max="1025" width="5.42578125" style="1" customWidth="1"/>
    <col min="1026" max="1026" width="5.7109375" style="1" customWidth="1"/>
    <col min="1027" max="1027" width="6.140625" style="1" customWidth="1"/>
    <col min="1028" max="1028" width="6.5703125" style="1" customWidth="1"/>
    <col min="1029" max="1030" width="0" style="1" hidden="1" customWidth="1"/>
    <col min="1031" max="1031" width="6.5703125" style="1" customWidth="1"/>
    <col min="1032" max="1032" width="3.85546875" style="1" customWidth="1"/>
    <col min="1033" max="1033" width="47.140625" style="1" customWidth="1"/>
    <col min="1034" max="1034" width="6.28515625" style="1" customWidth="1"/>
    <col min="1035" max="1035" width="0" style="1" hidden="1" customWidth="1"/>
    <col min="1036" max="1036" width="6.7109375" style="1" customWidth="1"/>
    <col min="1037" max="1037" width="9.28515625" style="1" customWidth="1"/>
    <col min="1038" max="1038" width="7.7109375" style="1" customWidth="1"/>
    <col min="1039" max="1039" width="7.28515625" style="1" customWidth="1"/>
    <col min="1040" max="1040" width="6.42578125" style="1" customWidth="1"/>
    <col min="1041" max="1278" width="9.140625" style="1"/>
    <col min="1279" max="1279" width="3.5703125" style="1" customWidth="1"/>
    <col min="1280" max="1280" width="33.42578125" style="1" customWidth="1"/>
    <col min="1281" max="1281" width="5.42578125" style="1" customWidth="1"/>
    <col min="1282" max="1282" width="5.7109375" style="1" customWidth="1"/>
    <col min="1283" max="1283" width="6.140625" style="1" customWidth="1"/>
    <col min="1284" max="1284" width="6.5703125" style="1" customWidth="1"/>
    <col min="1285" max="1286" width="0" style="1" hidden="1" customWidth="1"/>
    <col min="1287" max="1287" width="6.5703125" style="1" customWidth="1"/>
    <col min="1288" max="1288" width="3.85546875" style="1" customWidth="1"/>
    <col min="1289" max="1289" width="47.140625" style="1" customWidth="1"/>
    <col min="1290" max="1290" width="6.28515625" style="1" customWidth="1"/>
    <col min="1291" max="1291" width="0" style="1" hidden="1" customWidth="1"/>
    <col min="1292" max="1292" width="6.7109375" style="1" customWidth="1"/>
    <col min="1293" max="1293" width="9.28515625" style="1" customWidth="1"/>
    <col min="1294" max="1294" width="7.7109375" style="1" customWidth="1"/>
    <col min="1295" max="1295" width="7.28515625" style="1" customWidth="1"/>
    <col min="1296" max="1296" width="6.42578125" style="1" customWidth="1"/>
    <col min="1297" max="1534" width="9.140625" style="1"/>
    <col min="1535" max="1535" width="3.5703125" style="1" customWidth="1"/>
    <col min="1536" max="1536" width="33.42578125" style="1" customWidth="1"/>
    <col min="1537" max="1537" width="5.42578125" style="1" customWidth="1"/>
    <col min="1538" max="1538" width="5.7109375" style="1" customWidth="1"/>
    <col min="1539" max="1539" width="6.140625" style="1" customWidth="1"/>
    <col min="1540" max="1540" width="6.5703125" style="1" customWidth="1"/>
    <col min="1541" max="1542" width="0" style="1" hidden="1" customWidth="1"/>
    <col min="1543" max="1543" width="6.5703125" style="1" customWidth="1"/>
    <col min="1544" max="1544" width="3.85546875" style="1" customWidth="1"/>
    <col min="1545" max="1545" width="47.140625" style="1" customWidth="1"/>
    <col min="1546" max="1546" width="6.28515625" style="1" customWidth="1"/>
    <col min="1547" max="1547" width="0" style="1" hidden="1" customWidth="1"/>
    <col min="1548" max="1548" width="6.7109375" style="1" customWidth="1"/>
    <col min="1549" max="1549" width="9.28515625" style="1" customWidth="1"/>
    <col min="1550" max="1550" width="7.7109375" style="1" customWidth="1"/>
    <col min="1551" max="1551" width="7.28515625" style="1" customWidth="1"/>
    <col min="1552" max="1552" width="6.42578125" style="1" customWidth="1"/>
    <col min="1553" max="1790" width="9.140625" style="1"/>
    <col min="1791" max="1791" width="3.5703125" style="1" customWidth="1"/>
    <col min="1792" max="1792" width="33.42578125" style="1" customWidth="1"/>
    <col min="1793" max="1793" width="5.42578125" style="1" customWidth="1"/>
    <col min="1794" max="1794" width="5.7109375" style="1" customWidth="1"/>
    <col min="1795" max="1795" width="6.140625" style="1" customWidth="1"/>
    <col min="1796" max="1796" width="6.5703125" style="1" customWidth="1"/>
    <col min="1797" max="1798" width="0" style="1" hidden="1" customWidth="1"/>
    <col min="1799" max="1799" width="6.5703125" style="1" customWidth="1"/>
    <col min="1800" max="1800" width="3.85546875" style="1" customWidth="1"/>
    <col min="1801" max="1801" width="47.140625" style="1" customWidth="1"/>
    <col min="1802" max="1802" width="6.28515625" style="1" customWidth="1"/>
    <col min="1803" max="1803" width="0" style="1" hidden="1" customWidth="1"/>
    <col min="1804" max="1804" width="6.7109375" style="1" customWidth="1"/>
    <col min="1805" max="1805" width="9.28515625" style="1" customWidth="1"/>
    <col min="1806" max="1806" width="7.7109375" style="1" customWidth="1"/>
    <col min="1807" max="1807" width="7.28515625" style="1" customWidth="1"/>
    <col min="1808" max="1808" width="6.42578125" style="1" customWidth="1"/>
    <col min="1809" max="2046" width="9.140625" style="1"/>
    <col min="2047" max="2047" width="3.5703125" style="1" customWidth="1"/>
    <col min="2048" max="2048" width="33.42578125" style="1" customWidth="1"/>
    <col min="2049" max="2049" width="5.42578125" style="1" customWidth="1"/>
    <col min="2050" max="2050" width="5.7109375" style="1" customWidth="1"/>
    <col min="2051" max="2051" width="6.140625" style="1" customWidth="1"/>
    <col min="2052" max="2052" width="6.5703125" style="1" customWidth="1"/>
    <col min="2053" max="2054" width="0" style="1" hidden="1" customWidth="1"/>
    <col min="2055" max="2055" width="6.5703125" style="1" customWidth="1"/>
    <col min="2056" max="2056" width="3.85546875" style="1" customWidth="1"/>
    <col min="2057" max="2057" width="47.140625" style="1" customWidth="1"/>
    <col min="2058" max="2058" width="6.28515625" style="1" customWidth="1"/>
    <col min="2059" max="2059" width="0" style="1" hidden="1" customWidth="1"/>
    <col min="2060" max="2060" width="6.7109375" style="1" customWidth="1"/>
    <col min="2061" max="2061" width="9.28515625" style="1" customWidth="1"/>
    <col min="2062" max="2062" width="7.7109375" style="1" customWidth="1"/>
    <col min="2063" max="2063" width="7.28515625" style="1" customWidth="1"/>
    <col min="2064" max="2064" width="6.42578125" style="1" customWidth="1"/>
    <col min="2065" max="2302" width="9.140625" style="1"/>
    <col min="2303" max="2303" width="3.5703125" style="1" customWidth="1"/>
    <col min="2304" max="2304" width="33.42578125" style="1" customWidth="1"/>
    <col min="2305" max="2305" width="5.42578125" style="1" customWidth="1"/>
    <col min="2306" max="2306" width="5.7109375" style="1" customWidth="1"/>
    <col min="2307" max="2307" width="6.140625" style="1" customWidth="1"/>
    <col min="2308" max="2308" width="6.5703125" style="1" customWidth="1"/>
    <col min="2309" max="2310" width="0" style="1" hidden="1" customWidth="1"/>
    <col min="2311" max="2311" width="6.5703125" style="1" customWidth="1"/>
    <col min="2312" max="2312" width="3.85546875" style="1" customWidth="1"/>
    <col min="2313" max="2313" width="47.140625" style="1" customWidth="1"/>
    <col min="2314" max="2314" width="6.28515625" style="1" customWidth="1"/>
    <col min="2315" max="2315" width="0" style="1" hidden="1" customWidth="1"/>
    <col min="2316" max="2316" width="6.7109375" style="1" customWidth="1"/>
    <col min="2317" max="2317" width="9.28515625" style="1" customWidth="1"/>
    <col min="2318" max="2318" width="7.7109375" style="1" customWidth="1"/>
    <col min="2319" max="2319" width="7.28515625" style="1" customWidth="1"/>
    <col min="2320" max="2320" width="6.42578125" style="1" customWidth="1"/>
    <col min="2321" max="2558" width="9.140625" style="1"/>
    <col min="2559" max="2559" width="3.5703125" style="1" customWidth="1"/>
    <col min="2560" max="2560" width="33.42578125" style="1" customWidth="1"/>
    <col min="2561" max="2561" width="5.42578125" style="1" customWidth="1"/>
    <col min="2562" max="2562" width="5.7109375" style="1" customWidth="1"/>
    <col min="2563" max="2563" width="6.140625" style="1" customWidth="1"/>
    <col min="2564" max="2564" width="6.5703125" style="1" customWidth="1"/>
    <col min="2565" max="2566" width="0" style="1" hidden="1" customWidth="1"/>
    <col min="2567" max="2567" width="6.5703125" style="1" customWidth="1"/>
    <col min="2568" max="2568" width="3.85546875" style="1" customWidth="1"/>
    <col min="2569" max="2569" width="47.140625" style="1" customWidth="1"/>
    <col min="2570" max="2570" width="6.28515625" style="1" customWidth="1"/>
    <col min="2571" max="2571" width="0" style="1" hidden="1" customWidth="1"/>
    <col min="2572" max="2572" width="6.7109375" style="1" customWidth="1"/>
    <col min="2573" max="2573" width="9.28515625" style="1" customWidth="1"/>
    <col min="2574" max="2574" width="7.7109375" style="1" customWidth="1"/>
    <col min="2575" max="2575" width="7.28515625" style="1" customWidth="1"/>
    <col min="2576" max="2576" width="6.42578125" style="1" customWidth="1"/>
    <col min="2577" max="2814" width="9.140625" style="1"/>
    <col min="2815" max="2815" width="3.5703125" style="1" customWidth="1"/>
    <col min="2816" max="2816" width="33.42578125" style="1" customWidth="1"/>
    <col min="2817" max="2817" width="5.42578125" style="1" customWidth="1"/>
    <col min="2818" max="2818" width="5.7109375" style="1" customWidth="1"/>
    <col min="2819" max="2819" width="6.140625" style="1" customWidth="1"/>
    <col min="2820" max="2820" width="6.5703125" style="1" customWidth="1"/>
    <col min="2821" max="2822" width="0" style="1" hidden="1" customWidth="1"/>
    <col min="2823" max="2823" width="6.5703125" style="1" customWidth="1"/>
    <col min="2824" max="2824" width="3.85546875" style="1" customWidth="1"/>
    <col min="2825" max="2825" width="47.140625" style="1" customWidth="1"/>
    <col min="2826" max="2826" width="6.28515625" style="1" customWidth="1"/>
    <col min="2827" max="2827" width="0" style="1" hidden="1" customWidth="1"/>
    <col min="2828" max="2828" width="6.7109375" style="1" customWidth="1"/>
    <col min="2829" max="2829" width="9.28515625" style="1" customWidth="1"/>
    <col min="2830" max="2830" width="7.7109375" style="1" customWidth="1"/>
    <col min="2831" max="2831" width="7.28515625" style="1" customWidth="1"/>
    <col min="2832" max="2832" width="6.42578125" style="1" customWidth="1"/>
    <col min="2833" max="3070" width="9.140625" style="1"/>
    <col min="3071" max="3071" width="3.5703125" style="1" customWidth="1"/>
    <col min="3072" max="3072" width="33.42578125" style="1" customWidth="1"/>
    <col min="3073" max="3073" width="5.42578125" style="1" customWidth="1"/>
    <col min="3074" max="3074" width="5.7109375" style="1" customWidth="1"/>
    <col min="3075" max="3075" width="6.140625" style="1" customWidth="1"/>
    <col min="3076" max="3076" width="6.5703125" style="1" customWidth="1"/>
    <col min="3077" max="3078" width="0" style="1" hidden="1" customWidth="1"/>
    <col min="3079" max="3079" width="6.5703125" style="1" customWidth="1"/>
    <col min="3080" max="3080" width="3.85546875" style="1" customWidth="1"/>
    <col min="3081" max="3081" width="47.140625" style="1" customWidth="1"/>
    <col min="3082" max="3082" width="6.28515625" style="1" customWidth="1"/>
    <col min="3083" max="3083" width="0" style="1" hidden="1" customWidth="1"/>
    <col min="3084" max="3084" width="6.7109375" style="1" customWidth="1"/>
    <col min="3085" max="3085" width="9.28515625" style="1" customWidth="1"/>
    <col min="3086" max="3086" width="7.7109375" style="1" customWidth="1"/>
    <col min="3087" max="3087" width="7.28515625" style="1" customWidth="1"/>
    <col min="3088" max="3088" width="6.42578125" style="1" customWidth="1"/>
    <col min="3089" max="3326" width="9.140625" style="1"/>
    <col min="3327" max="3327" width="3.5703125" style="1" customWidth="1"/>
    <col min="3328" max="3328" width="33.42578125" style="1" customWidth="1"/>
    <col min="3329" max="3329" width="5.42578125" style="1" customWidth="1"/>
    <col min="3330" max="3330" width="5.7109375" style="1" customWidth="1"/>
    <col min="3331" max="3331" width="6.140625" style="1" customWidth="1"/>
    <col min="3332" max="3332" width="6.5703125" style="1" customWidth="1"/>
    <col min="3333" max="3334" width="0" style="1" hidden="1" customWidth="1"/>
    <col min="3335" max="3335" width="6.5703125" style="1" customWidth="1"/>
    <col min="3336" max="3336" width="3.85546875" style="1" customWidth="1"/>
    <col min="3337" max="3337" width="47.140625" style="1" customWidth="1"/>
    <col min="3338" max="3338" width="6.28515625" style="1" customWidth="1"/>
    <col min="3339" max="3339" width="0" style="1" hidden="1" customWidth="1"/>
    <col min="3340" max="3340" width="6.7109375" style="1" customWidth="1"/>
    <col min="3341" max="3341" width="9.28515625" style="1" customWidth="1"/>
    <col min="3342" max="3342" width="7.7109375" style="1" customWidth="1"/>
    <col min="3343" max="3343" width="7.28515625" style="1" customWidth="1"/>
    <col min="3344" max="3344" width="6.42578125" style="1" customWidth="1"/>
    <col min="3345" max="3582" width="9.140625" style="1"/>
    <col min="3583" max="3583" width="3.5703125" style="1" customWidth="1"/>
    <col min="3584" max="3584" width="33.42578125" style="1" customWidth="1"/>
    <col min="3585" max="3585" width="5.42578125" style="1" customWidth="1"/>
    <col min="3586" max="3586" width="5.7109375" style="1" customWidth="1"/>
    <col min="3587" max="3587" width="6.140625" style="1" customWidth="1"/>
    <col min="3588" max="3588" width="6.5703125" style="1" customWidth="1"/>
    <col min="3589" max="3590" width="0" style="1" hidden="1" customWidth="1"/>
    <col min="3591" max="3591" width="6.5703125" style="1" customWidth="1"/>
    <col min="3592" max="3592" width="3.85546875" style="1" customWidth="1"/>
    <col min="3593" max="3593" width="47.140625" style="1" customWidth="1"/>
    <col min="3594" max="3594" width="6.28515625" style="1" customWidth="1"/>
    <col min="3595" max="3595" width="0" style="1" hidden="1" customWidth="1"/>
    <col min="3596" max="3596" width="6.7109375" style="1" customWidth="1"/>
    <col min="3597" max="3597" width="9.28515625" style="1" customWidth="1"/>
    <col min="3598" max="3598" width="7.7109375" style="1" customWidth="1"/>
    <col min="3599" max="3599" width="7.28515625" style="1" customWidth="1"/>
    <col min="3600" max="3600" width="6.42578125" style="1" customWidth="1"/>
    <col min="3601" max="3838" width="9.140625" style="1"/>
    <col min="3839" max="3839" width="3.5703125" style="1" customWidth="1"/>
    <col min="3840" max="3840" width="33.42578125" style="1" customWidth="1"/>
    <col min="3841" max="3841" width="5.42578125" style="1" customWidth="1"/>
    <col min="3842" max="3842" width="5.7109375" style="1" customWidth="1"/>
    <col min="3843" max="3843" width="6.140625" style="1" customWidth="1"/>
    <col min="3844" max="3844" width="6.5703125" style="1" customWidth="1"/>
    <col min="3845" max="3846" width="0" style="1" hidden="1" customWidth="1"/>
    <col min="3847" max="3847" width="6.5703125" style="1" customWidth="1"/>
    <col min="3848" max="3848" width="3.85546875" style="1" customWidth="1"/>
    <col min="3849" max="3849" width="47.140625" style="1" customWidth="1"/>
    <col min="3850" max="3850" width="6.28515625" style="1" customWidth="1"/>
    <col min="3851" max="3851" width="0" style="1" hidden="1" customWidth="1"/>
    <col min="3852" max="3852" width="6.7109375" style="1" customWidth="1"/>
    <col min="3853" max="3853" width="9.28515625" style="1" customWidth="1"/>
    <col min="3854" max="3854" width="7.7109375" style="1" customWidth="1"/>
    <col min="3855" max="3855" width="7.28515625" style="1" customWidth="1"/>
    <col min="3856" max="3856" width="6.42578125" style="1" customWidth="1"/>
    <col min="3857" max="4094" width="9.140625" style="1"/>
    <col min="4095" max="4095" width="3.5703125" style="1" customWidth="1"/>
    <col min="4096" max="4096" width="33.42578125" style="1" customWidth="1"/>
    <col min="4097" max="4097" width="5.42578125" style="1" customWidth="1"/>
    <col min="4098" max="4098" width="5.7109375" style="1" customWidth="1"/>
    <col min="4099" max="4099" width="6.140625" style="1" customWidth="1"/>
    <col min="4100" max="4100" width="6.5703125" style="1" customWidth="1"/>
    <col min="4101" max="4102" width="0" style="1" hidden="1" customWidth="1"/>
    <col min="4103" max="4103" width="6.5703125" style="1" customWidth="1"/>
    <col min="4104" max="4104" width="3.85546875" style="1" customWidth="1"/>
    <col min="4105" max="4105" width="47.140625" style="1" customWidth="1"/>
    <col min="4106" max="4106" width="6.28515625" style="1" customWidth="1"/>
    <col min="4107" max="4107" width="0" style="1" hidden="1" customWidth="1"/>
    <col min="4108" max="4108" width="6.7109375" style="1" customWidth="1"/>
    <col min="4109" max="4109" width="9.28515625" style="1" customWidth="1"/>
    <col min="4110" max="4110" width="7.7109375" style="1" customWidth="1"/>
    <col min="4111" max="4111" width="7.28515625" style="1" customWidth="1"/>
    <col min="4112" max="4112" width="6.42578125" style="1" customWidth="1"/>
    <col min="4113" max="4350" width="9.140625" style="1"/>
    <col min="4351" max="4351" width="3.5703125" style="1" customWidth="1"/>
    <col min="4352" max="4352" width="33.42578125" style="1" customWidth="1"/>
    <col min="4353" max="4353" width="5.42578125" style="1" customWidth="1"/>
    <col min="4354" max="4354" width="5.7109375" style="1" customWidth="1"/>
    <col min="4355" max="4355" width="6.140625" style="1" customWidth="1"/>
    <col min="4356" max="4356" width="6.5703125" style="1" customWidth="1"/>
    <col min="4357" max="4358" width="0" style="1" hidden="1" customWidth="1"/>
    <col min="4359" max="4359" width="6.5703125" style="1" customWidth="1"/>
    <col min="4360" max="4360" width="3.85546875" style="1" customWidth="1"/>
    <col min="4361" max="4361" width="47.140625" style="1" customWidth="1"/>
    <col min="4362" max="4362" width="6.28515625" style="1" customWidth="1"/>
    <col min="4363" max="4363" width="0" style="1" hidden="1" customWidth="1"/>
    <col min="4364" max="4364" width="6.7109375" style="1" customWidth="1"/>
    <col min="4365" max="4365" width="9.28515625" style="1" customWidth="1"/>
    <col min="4366" max="4366" width="7.7109375" style="1" customWidth="1"/>
    <col min="4367" max="4367" width="7.28515625" style="1" customWidth="1"/>
    <col min="4368" max="4368" width="6.42578125" style="1" customWidth="1"/>
    <col min="4369" max="4606" width="9.140625" style="1"/>
    <col min="4607" max="4607" width="3.5703125" style="1" customWidth="1"/>
    <col min="4608" max="4608" width="33.42578125" style="1" customWidth="1"/>
    <col min="4609" max="4609" width="5.42578125" style="1" customWidth="1"/>
    <col min="4610" max="4610" width="5.7109375" style="1" customWidth="1"/>
    <col min="4611" max="4611" width="6.140625" style="1" customWidth="1"/>
    <col min="4612" max="4612" width="6.5703125" style="1" customWidth="1"/>
    <col min="4613" max="4614" width="0" style="1" hidden="1" customWidth="1"/>
    <col min="4615" max="4615" width="6.5703125" style="1" customWidth="1"/>
    <col min="4616" max="4616" width="3.85546875" style="1" customWidth="1"/>
    <col min="4617" max="4617" width="47.140625" style="1" customWidth="1"/>
    <col min="4618" max="4618" width="6.28515625" style="1" customWidth="1"/>
    <col min="4619" max="4619" width="0" style="1" hidden="1" customWidth="1"/>
    <col min="4620" max="4620" width="6.7109375" style="1" customWidth="1"/>
    <col min="4621" max="4621" width="9.28515625" style="1" customWidth="1"/>
    <col min="4622" max="4622" width="7.7109375" style="1" customWidth="1"/>
    <col min="4623" max="4623" width="7.28515625" style="1" customWidth="1"/>
    <col min="4624" max="4624" width="6.42578125" style="1" customWidth="1"/>
    <col min="4625" max="4862" width="9.140625" style="1"/>
    <col min="4863" max="4863" width="3.5703125" style="1" customWidth="1"/>
    <col min="4864" max="4864" width="33.42578125" style="1" customWidth="1"/>
    <col min="4865" max="4865" width="5.42578125" style="1" customWidth="1"/>
    <col min="4866" max="4866" width="5.7109375" style="1" customWidth="1"/>
    <col min="4867" max="4867" width="6.140625" style="1" customWidth="1"/>
    <col min="4868" max="4868" width="6.5703125" style="1" customWidth="1"/>
    <col min="4869" max="4870" width="0" style="1" hidden="1" customWidth="1"/>
    <col min="4871" max="4871" width="6.5703125" style="1" customWidth="1"/>
    <col min="4872" max="4872" width="3.85546875" style="1" customWidth="1"/>
    <col min="4873" max="4873" width="47.140625" style="1" customWidth="1"/>
    <col min="4874" max="4874" width="6.28515625" style="1" customWidth="1"/>
    <col min="4875" max="4875" width="0" style="1" hidden="1" customWidth="1"/>
    <col min="4876" max="4876" width="6.7109375" style="1" customWidth="1"/>
    <col min="4877" max="4877" width="9.28515625" style="1" customWidth="1"/>
    <col min="4878" max="4878" width="7.7109375" style="1" customWidth="1"/>
    <col min="4879" max="4879" width="7.28515625" style="1" customWidth="1"/>
    <col min="4880" max="4880" width="6.42578125" style="1" customWidth="1"/>
    <col min="4881" max="5118" width="9.140625" style="1"/>
    <col min="5119" max="5119" width="3.5703125" style="1" customWidth="1"/>
    <col min="5120" max="5120" width="33.42578125" style="1" customWidth="1"/>
    <col min="5121" max="5121" width="5.42578125" style="1" customWidth="1"/>
    <col min="5122" max="5122" width="5.7109375" style="1" customWidth="1"/>
    <col min="5123" max="5123" width="6.140625" style="1" customWidth="1"/>
    <col min="5124" max="5124" width="6.5703125" style="1" customWidth="1"/>
    <col min="5125" max="5126" width="0" style="1" hidden="1" customWidth="1"/>
    <col min="5127" max="5127" width="6.5703125" style="1" customWidth="1"/>
    <col min="5128" max="5128" width="3.85546875" style="1" customWidth="1"/>
    <col min="5129" max="5129" width="47.140625" style="1" customWidth="1"/>
    <col min="5130" max="5130" width="6.28515625" style="1" customWidth="1"/>
    <col min="5131" max="5131" width="0" style="1" hidden="1" customWidth="1"/>
    <col min="5132" max="5132" width="6.7109375" style="1" customWidth="1"/>
    <col min="5133" max="5133" width="9.28515625" style="1" customWidth="1"/>
    <col min="5134" max="5134" width="7.7109375" style="1" customWidth="1"/>
    <col min="5135" max="5135" width="7.28515625" style="1" customWidth="1"/>
    <col min="5136" max="5136" width="6.42578125" style="1" customWidth="1"/>
    <col min="5137" max="5374" width="9.140625" style="1"/>
    <col min="5375" max="5375" width="3.5703125" style="1" customWidth="1"/>
    <col min="5376" max="5376" width="33.42578125" style="1" customWidth="1"/>
    <col min="5377" max="5377" width="5.42578125" style="1" customWidth="1"/>
    <col min="5378" max="5378" width="5.7109375" style="1" customWidth="1"/>
    <col min="5379" max="5379" width="6.140625" style="1" customWidth="1"/>
    <col min="5380" max="5380" width="6.5703125" style="1" customWidth="1"/>
    <col min="5381" max="5382" width="0" style="1" hidden="1" customWidth="1"/>
    <col min="5383" max="5383" width="6.5703125" style="1" customWidth="1"/>
    <col min="5384" max="5384" width="3.85546875" style="1" customWidth="1"/>
    <col min="5385" max="5385" width="47.140625" style="1" customWidth="1"/>
    <col min="5386" max="5386" width="6.28515625" style="1" customWidth="1"/>
    <col min="5387" max="5387" width="0" style="1" hidden="1" customWidth="1"/>
    <col min="5388" max="5388" width="6.7109375" style="1" customWidth="1"/>
    <col min="5389" max="5389" width="9.28515625" style="1" customWidth="1"/>
    <col min="5390" max="5390" width="7.7109375" style="1" customWidth="1"/>
    <col min="5391" max="5391" width="7.28515625" style="1" customWidth="1"/>
    <col min="5392" max="5392" width="6.42578125" style="1" customWidth="1"/>
    <col min="5393" max="5630" width="9.140625" style="1"/>
    <col min="5631" max="5631" width="3.5703125" style="1" customWidth="1"/>
    <col min="5632" max="5632" width="33.42578125" style="1" customWidth="1"/>
    <col min="5633" max="5633" width="5.42578125" style="1" customWidth="1"/>
    <col min="5634" max="5634" width="5.7109375" style="1" customWidth="1"/>
    <col min="5635" max="5635" width="6.140625" style="1" customWidth="1"/>
    <col min="5636" max="5636" width="6.5703125" style="1" customWidth="1"/>
    <col min="5637" max="5638" width="0" style="1" hidden="1" customWidth="1"/>
    <col min="5639" max="5639" width="6.5703125" style="1" customWidth="1"/>
    <col min="5640" max="5640" width="3.85546875" style="1" customWidth="1"/>
    <col min="5641" max="5641" width="47.140625" style="1" customWidth="1"/>
    <col min="5642" max="5642" width="6.28515625" style="1" customWidth="1"/>
    <col min="5643" max="5643" width="0" style="1" hidden="1" customWidth="1"/>
    <col min="5644" max="5644" width="6.7109375" style="1" customWidth="1"/>
    <col min="5645" max="5645" width="9.28515625" style="1" customWidth="1"/>
    <col min="5646" max="5646" width="7.7109375" style="1" customWidth="1"/>
    <col min="5647" max="5647" width="7.28515625" style="1" customWidth="1"/>
    <col min="5648" max="5648" width="6.42578125" style="1" customWidth="1"/>
    <col min="5649" max="5886" width="9.140625" style="1"/>
    <col min="5887" max="5887" width="3.5703125" style="1" customWidth="1"/>
    <col min="5888" max="5888" width="33.42578125" style="1" customWidth="1"/>
    <col min="5889" max="5889" width="5.42578125" style="1" customWidth="1"/>
    <col min="5890" max="5890" width="5.7109375" style="1" customWidth="1"/>
    <col min="5891" max="5891" width="6.140625" style="1" customWidth="1"/>
    <col min="5892" max="5892" width="6.5703125" style="1" customWidth="1"/>
    <col min="5893" max="5894" width="0" style="1" hidden="1" customWidth="1"/>
    <col min="5895" max="5895" width="6.5703125" style="1" customWidth="1"/>
    <col min="5896" max="5896" width="3.85546875" style="1" customWidth="1"/>
    <col min="5897" max="5897" width="47.140625" style="1" customWidth="1"/>
    <col min="5898" max="5898" width="6.28515625" style="1" customWidth="1"/>
    <col min="5899" max="5899" width="0" style="1" hidden="1" customWidth="1"/>
    <col min="5900" max="5900" width="6.7109375" style="1" customWidth="1"/>
    <col min="5901" max="5901" width="9.28515625" style="1" customWidth="1"/>
    <col min="5902" max="5902" width="7.7109375" style="1" customWidth="1"/>
    <col min="5903" max="5903" width="7.28515625" style="1" customWidth="1"/>
    <col min="5904" max="5904" width="6.42578125" style="1" customWidth="1"/>
    <col min="5905" max="6142" width="9.140625" style="1"/>
    <col min="6143" max="6143" width="3.5703125" style="1" customWidth="1"/>
    <col min="6144" max="6144" width="33.42578125" style="1" customWidth="1"/>
    <col min="6145" max="6145" width="5.42578125" style="1" customWidth="1"/>
    <col min="6146" max="6146" width="5.7109375" style="1" customWidth="1"/>
    <col min="6147" max="6147" width="6.140625" style="1" customWidth="1"/>
    <col min="6148" max="6148" width="6.5703125" style="1" customWidth="1"/>
    <col min="6149" max="6150" width="0" style="1" hidden="1" customWidth="1"/>
    <col min="6151" max="6151" width="6.5703125" style="1" customWidth="1"/>
    <col min="6152" max="6152" width="3.85546875" style="1" customWidth="1"/>
    <col min="6153" max="6153" width="47.140625" style="1" customWidth="1"/>
    <col min="6154" max="6154" width="6.28515625" style="1" customWidth="1"/>
    <col min="6155" max="6155" width="0" style="1" hidden="1" customWidth="1"/>
    <col min="6156" max="6156" width="6.7109375" style="1" customWidth="1"/>
    <col min="6157" max="6157" width="9.28515625" style="1" customWidth="1"/>
    <col min="6158" max="6158" width="7.7109375" style="1" customWidth="1"/>
    <col min="6159" max="6159" width="7.28515625" style="1" customWidth="1"/>
    <col min="6160" max="6160" width="6.42578125" style="1" customWidth="1"/>
    <col min="6161" max="6398" width="9.140625" style="1"/>
    <col min="6399" max="6399" width="3.5703125" style="1" customWidth="1"/>
    <col min="6400" max="6400" width="33.42578125" style="1" customWidth="1"/>
    <col min="6401" max="6401" width="5.42578125" style="1" customWidth="1"/>
    <col min="6402" max="6402" width="5.7109375" style="1" customWidth="1"/>
    <col min="6403" max="6403" width="6.140625" style="1" customWidth="1"/>
    <col min="6404" max="6404" width="6.5703125" style="1" customWidth="1"/>
    <col min="6405" max="6406" width="0" style="1" hidden="1" customWidth="1"/>
    <col min="6407" max="6407" width="6.5703125" style="1" customWidth="1"/>
    <col min="6408" max="6408" width="3.85546875" style="1" customWidth="1"/>
    <col min="6409" max="6409" width="47.140625" style="1" customWidth="1"/>
    <col min="6410" max="6410" width="6.28515625" style="1" customWidth="1"/>
    <col min="6411" max="6411" width="0" style="1" hidden="1" customWidth="1"/>
    <col min="6412" max="6412" width="6.7109375" style="1" customWidth="1"/>
    <col min="6413" max="6413" width="9.28515625" style="1" customWidth="1"/>
    <col min="6414" max="6414" width="7.7109375" style="1" customWidth="1"/>
    <col min="6415" max="6415" width="7.28515625" style="1" customWidth="1"/>
    <col min="6416" max="6416" width="6.42578125" style="1" customWidth="1"/>
    <col min="6417" max="6654" width="9.140625" style="1"/>
    <col min="6655" max="6655" width="3.5703125" style="1" customWidth="1"/>
    <col min="6656" max="6656" width="33.42578125" style="1" customWidth="1"/>
    <col min="6657" max="6657" width="5.42578125" style="1" customWidth="1"/>
    <col min="6658" max="6658" width="5.7109375" style="1" customWidth="1"/>
    <col min="6659" max="6659" width="6.140625" style="1" customWidth="1"/>
    <col min="6660" max="6660" width="6.5703125" style="1" customWidth="1"/>
    <col min="6661" max="6662" width="0" style="1" hidden="1" customWidth="1"/>
    <col min="6663" max="6663" width="6.5703125" style="1" customWidth="1"/>
    <col min="6664" max="6664" width="3.85546875" style="1" customWidth="1"/>
    <col min="6665" max="6665" width="47.140625" style="1" customWidth="1"/>
    <col min="6666" max="6666" width="6.28515625" style="1" customWidth="1"/>
    <col min="6667" max="6667" width="0" style="1" hidden="1" customWidth="1"/>
    <col min="6668" max="6668" width="6.7109375" style="1" customWidth="1"/>
    <col min="6669" max="6669" width="9.28515625" style="1" customWidth="1"/>
    <col min="6670" max="6670" width="7.7109375" style="1" customWidth="1"/>
    <col min="6671" max="6671" width="7.28515625" style="1" customWidth="1"/>
    <col min="6672" max="6672" width="6.42578125" style="1" customWidth="1"/>
    <col min="6673" max="6910" width="9.140625" style="1"/>
    <col min="6911" max="6911" width="3.5703125" style="1" customWidth="1"/>
    <col min="6912" max="6912" width="33.42578125" style="1" customWidth="1"/>
    <col min="6913" max="6913" width="5.42578125" style="1" customWidth="1"/>
    <col min="6914" max="6914" width="5.7109375" style="1" customWidth="1"/>
    <col min="6915" max="6915" width="6.140625" style="1" customWidth="1"/>
    <col min="6916" max="6916" width="6.5703125" style="1" customWidth="1"/>
    <col min="6917" max="6918" width="0" style="1" hidden="1" customWidth="1"/>
    <col min="6919" max="6919" width="6.5703125" style="1" customWidth="1"/>
    <col min="6920" max="6920" width="3.85546875" style="1" customWidth="1"/>
    <col min="6921" max="6921" width="47.140625" style="1" customWidth="1"/>
    <col min="6922" max="6922" width="6.28515625" style="1" customWidth="1"/>
    <col min="6923" max="6923" width="0" style="1" hidden="1" customWidth="1"/>
    <col min="6924" max="6924" width="6.7109375" style="1" customWidth="1"/>
    <col min="6925" max="6925" width="9.28515625" style="1" customWidth="1"/>
    <col min="6926" max="6926" width="7.7109375" style="1" customWidth="1"/>
    <col min="6927" max="6927" width="7.28515625" style="1" customWidth="1"/>
    <col min="6928" max="6928" width="6.42578125" style="1" customWidth="1"/>
    <col min="6929" max="7166" width="9.140625" style="1"/>
    <col min="7167" max="7167" width="3.5703125" style="1" customWidth="1"/>
    <col min="7168" max="7168" width="33.42578125" style="1" customWidth="1"/>
    <col min="7169" max="7169" width="5.42578125" style="1" customWidth="1"/>
    <col min="7170" max="7170" width="5.7109375" style="1" customWidth="1"/>
    <col min="7171" max="7171" width="6.140625" style="1" customWidth="1"/>
    <col min="7172" max="7172" width="6.5703125" style="1" customWidth="1"/>
    <col min="7173" max="7174" width="0" style="1" hidden="1" customWidth="1"/>
    <col min="7175" max="7175" width="6.5703125" style="1" customWidth="1"/>
    <col min="7176" max="7176" width="3.85546875" style="1" customWidth="1"/>
    <col min="7177" max="7177" width="47.140625" style="1" customWidth="1"/>
    <col min="7178" max="7178" width="6.28515625" style="1" customWidth="1"/>
    <col min="7179" max="7179" width="0" style="1" hidden="1" customWidth="1"/>
    <col min="7180" max="7180" width="6.7109375" style="1" customWidth="1"/>
    <col min="7181" max="7181" width="9.28515625" style="1" customWidth="1"/>
    <col min="7182" max="7182" width="7.7109375" style="1" customWidth="1"/>
    <col min="7183" max="7183" width="7.28515625" style="1" customWidth="1"/>
    <col min="7184" max="7184" width="6.42578125" style="1" customWidth="1"/>
    <col min="7185" max="7422" width="9.140625" style="1"/>
    <col min="7423" max="7423" width="3.5703125" style="1" customWidth="1"/>
    <col min="7424" max="7424" width="33.42578125" style="1" customWidth="1"/>
    <col min="7425" max="7425" width="5.42578125" style="1" customWidth="1"/>
    <col min="7426" max="7426" width="5.7109375" style="1" customWidth="1"/>
    <col min="7427" max="7427" width="6.140625" style="1" customWidth="1"/>
    <col min="7428" max="7428" width="6.5703125" style="1" customWidth="1"/>
    <col min="7429" max="7430" width="0" style="1" hidden="1" customWidth="1"/>
    <col min="7431" max="7431" width="6.5703125" style="1" customWidth="1"/>
    <col min="7432" max="7432" width="3.85546875" style="1" customWidth="1"/>
    <col min="7433" max="7433" width="47.140625" style="1" customWidth="1"/>
    <col min="7434" max="7434" width="6.28515625" style="1" customWidth="1"/>
    <col min="7435" max="7435" width="0" style="1" hidden="1" customWidth="1"/>
    <col min="7436" max="7436" width="6.7109375" style="1" customWidth="1"/>
    <col min="7437" max="7437" width="9.28515625" style="1" customWidth="1"/>
    <col min="7438" max="7438" width="7.7109375" style="1" customWidth="1"/>
    <col min="7439" max="7439" width="7.28515625" style="1" customWidth="1"/>
    <col min="7440" max="7440" width="6.42578125" style="1" customWidth="1"/>
    <col min="7441" max="7678" width="9.140625" style="1"/>
    <col min="7679" max="7679" width="3.5703125" style="1" customWidth="1"/>
    <col min="7680" max="7680" width="33.42578125" style="1" customWidth="1"/>
    <col min="7681" max="7681" width="5.42578125" style="1" customWidth="1"/>
    <col min="7682" max="7682" width="5.7109375" style="1" customWidth="1"/>
    <col min="7683" max="7683" width="6.140625" style="1" customWidth="1"/>
    <col min="7684" max="7684" width="6.5703125" style="1" customWidth="1"/>
    <col min="7685" max="7686" width="0" style="1" hidden="1" customWidth="1"/>
    <col min="7687" max="7687" width="6.5703125" style="1" customWidth="1"/>
    <col min="7688" max="7688" width="3.85546875" style="1" customWidth="1"/>
    <col min="7689" max="7689" width="47.140625" style="1" customWidth="1"/>
    <col min="7690" max="7690" width="6.28515625" style="1" customWidth="1"/>
    <col min="7691" max="7691" width="0" style="1" hidden="1" customWidth="1"/>
    <col min="7692" max="7692" width="6.7109375" style="1" customWidth="1"/>
    <col min="7693" max="7693" width="9.28515625" style="1" customWidth="1"/>
    <col min="7694" max="7694" width="7.7109375" style="1" customWidth="1"/>
    <col min="7695" max="7695" width="7.28515625" style="1" customWidth="1"/>
    <col min="7696" max="7696" width="6.42578125" style="1" customWidth="1"/>
    <col min="7697" max="7934" width="9.140625" style="1"/>
    <col min="7935" max="7935" width="3.5703125" style="1" customWidth="1"/>
    <col min="7936" max="7936" width="33.42578125" style="1" customWidth="1"/>
    <col min="7937" max="7937" width="5.42578125" style="1" customWidth="1"/>
    <col min="7938" max="7938" width="5.7109375" style="1" customWidth="1"/>
    <col min="7939" max="7939" width="6.140625" style="1" customWidth="1"/>
    <col min="7940" max="7940" width="6.5703125" style="1" customWidth="1"/>
    <col min="7941" max="7942" width="0" style="1" hidden="1" customWidth="1"/>
    <col min="7943" max="7943" width="6.5703125" style="1" customWidth="1"/>
    <col min="7944" max="7944" width="3.85546875" style="1" customWidth="1"/>
    <col min="7945" max="7945" width="47.140625" style="1" customWidth="1"/>
    <col min="7946" max="7946" width="6.28515625" style="1" customWidth="1"/>
    <col min="7947" max="7947" width="0" style="1" hidden="1" customWidth="1"/>
    <col min="7948" max="7948" width="6.7109375" style="1" customWidth="1"/>
    <col min="7949" max="7949" width="9.28515625" style="1" customWidth="1"/>
    <col min="7950" max="7950" width="7.7109375" style="1" customWidth="1"/>
    <col min="7951" max="7951" width="7.28515625" style="1" customWidth="1"/>
    <col min="7952" max="7952" width="6.42578125" style="1" customWidth="1"/>
    <col min="7953" max="8190" width="9.140625" style="1"/>
    <col min="8191" max="8191" width="3.5703125" style="1" customWidth="1"/>
    <col min="8192" max="8192" width="33.42578125" style="1" customWidth="1"/>
    <col min="8193" max="8193" width="5.42578125" style="1" customWidth="1"/>
    <col min="8194" max="8194" width="5.7109375" style="1" customWidth="1"/>
    <col min="8195" max="8195" width="6.140625" style="1" customWidth="1"/>
    <col min="8196" max="8196" width="6.5703125" style="1" customWidth="1"/>
    <col min="8197" max="8198" width="0" style="1" hidden="1" customWidth="1"/>
    <col min="8199" max="8199" width="6.5703125" style="1" customWidth="1"/>
    <col min="8200" max="8200" width="3.85546875" style="1" customWidth="1"/>
    <col min="8201" max="8201" width="47.140625" style="1" customWidth="1"/>
    <col min="8202" max="8202" width="6.28515625" style="1" customWidth="1"/>
    <col min="8203" max="8203" width="0" style="1" hidden="1" customWidth="1"/>
    <col min="8204" max="8204" width="6.7109375" style="1" customWidth="1"/>
    <col min="8205" max="8205" width="9.28515625" style="1" customWidth="1"/>
    <col min="8206" max="8206" width="7.7109375" style="1" customWidth="1"/>
    <col min="8207" max="8207" width="7.28515625" style="1" customWidth="1"/>
    <col min="8208" max="8208" width="6.42578125" style="1" customWidth="1"/>
    <col min="8209" max="8446" width="9.140625" style="1"/>
    <col min="8447" max="8447" width="3.5703125" style="1" customWidth="1"/>
    <col min="8448" max="8448" width="33.42578125" style="1" customWidth="1"/>
    <col min="8449" max="8449" width="5.42578125" style="1" customWidth="1"/>
    <col min="8450" max="8450" width="5.7109375" style="1" customWidth="1"/>
    <col min="8451" max="8451" width="6.140625" style="1" customWidth="1"/>
    <col min="8452" max="8452" width="6.5703125" style="1" customWidth="1"/>
    <col min="8453" max="8454" width="0" style="1" hidden="1" customWidth="1"/>
    <col min="8455" max="8455" width="6.5703125" style="1" customWidth="1"/>
    <col min="8456" max="8456" width="3.85546875" style="1" customWidth="1"/>
    <col min="8457" max="8457" width="47.140625" style="1" customWidth="1"/>
    <col min="8458" max="8458" width="6.28515625" style="1" customWidth="1"/>
    <col min="8459" max="8459" width="0" style="1" hidden="1" customWidth="1"/>
    <col min="8460" max="8460" width="6.7109375" style="1" customWidth="1"/>
    <col min="8461" max="8461" width="9.28515625" style="1" customWidth="1"/>
    <col min="8462" max="8462" width="7.7109375" style="1" customWidth="1"/>
    <col min="8463" max="8463" width="7.28515625" style="1" customWidth="1"/>
    <col min="8464" max="8464" width="6.42578125" style="1" customWidth="1"/>
    <col min="8465" max="8702" width="9.140625" style="1"/>
    <col min="8703" max="8703" width="3.5703125" style="1" customWidth="1"/>
    <col min="8704" max="8704" width="33.42578125" style="1" customWidth="1"/>
    <col min="8705" max="8705" width="5.42578125" style="1" customWidth="1"/>
    <col min="8706" max="8706" width="5.7109375" style="1" customWidth="1"/>
    <col min="8707" max="8707" width="6.140625" style="1" customWidth="1"/>
    <col min="8708" max="8708" width="6.5703125" style="1" customWidth="1"/>
    <col min="8709" max="8710" width="0" style="1" hidden="1" customWidth="1"/>
    <col min="8711" max="8711" width="6.5703125" style="1" customWidth="1"/>
    <col min="8712" max="8712" width="3.85546875" style="1" customWidth="1"/>
    <col min="8713" max="8713" width="47.140625" style="1" customWidth="1"/>
    <col min="8714" max="8714" width="6.28515625" style="1" customWidth="1"/>
    <col min="8715" max="8715" width="0" style="1" hidden="1" customWidth="1"/>
    <col min="8716" max="8716" width="6.7109375" style="1" customWidth="1"/>
    <col min="8717" max="8717" width="9.28515625" style="1" customWidth="1"/>
    <col min="8718" max="8718" width="7.7109375" style="1" customWidth="1"/>
    <col min="8719" max="8719" width="7.28515625" style="1" customWidth="1"/>
    <col min="8720" max="8720" width="6.42578125" style="1" customWidth="1"/>
    <col min="8721" max="8958" width="9.140625" style="1"/>
    <col min="8959" max="8959" width="3.5703125" style="1" customWidth="1"/>
    <col min="8960" max="8960" width="33.42578125" style="1" customWidth="1"/>
    <col min="8961" max="8961" width="5.42578125" style="1" customWidth="1"/>
    <col min="8962" max="8962" width="5.7109375" style="1" customWidth="1"/>
    <col min="8963" max="8963" width="6.140625" style="1" customWidth="1"/>
    <col min="8964" max="8964" width="6.5703125" style="1" customWidth="1"/>
    <col min="8965" max="8966" width="0" style="1" hidden="1" customWidth="1"/>
    <col min="8967" max="8967" width="6.5703125" style="1" customWidth="1"/>
    <col min="8968" max="8968" width="3.85546875" style="1" customWidth="1"/>
    <col min="8969" max="8969" width="47.140625" style="1" customWidth="1"/>
    <col min="8970" max="8970" width="6.28515625" style="1" customWidth="1"/>
    <col min="8971" max="8971" width="0" style="1" hidden="1" customWidth="1"/>
    <col min="8972" max="8972" width="6.7109375" style="1" customWidth="1"/>
    <col min="8973" max="8973" width="9.28515625" style="1" customWidth="1"/>
    <col min="8974" max="8974" width="7.7109375" style="1" customWidth="1"/>
    <col min="8975" max="8975" width="7.28515625" style="1" customWidth="1"/>
    <col min="8976" max="8976" width="6.42578125" style="1" customWidth="1"/>
    <col min="8977" max="9214" width="9.140625" style="1"/>
    <col min="9215" max="9215" width="3.5703125" style="1" customWidth="1"/>
    <col min="9216" max="9216" width="33.42578125" style="1" customWidth="1"/>
    <col min="9217" max="9217" width="5.42578125" style="1" customWidth="1"/>
    <col min="9218" max="9218" width="5.7109375" style="1" customWidth="1"/>
    <col min="9219" max="9219" width="6.140625" style="1" customWidth="1"/>
    <col min="9220" max="9220" width="6.5703125" style="1" customWidth="1"/>
    <col min="9221" max="9222" width="0" style="1" hidden="1" customWidth="1"/>
    <col min="9223" max="9223" width="6.5703125" style="1" customWidth="1"/>
    <col min="9224" max="9224" width="3.85546875" style="1" customWidth="1"/>
    <col min="9225" max="9225" width="47.140625" style="1" customWidth="1"/>
    <col min="9226" max="9226" width="6.28515625" style="1" customWidth="1"/>
    <col min="9227" max="9227" width="0" style="1" hidden="1" customWidth="1"/>
    <col min="9228" max="9228" width="6.7109375" style="1" customWidth="1"/>
    <col min="9229" max="9229" width="9.28515625" style="1" customWidth="1"/>
    <col min="9230" max="9230" width="7.7109375" style="1" customWidth="1"/>
    <col min="9231" max="9231" width="7.28515625" style="1" customWidth="1"/>
    <col min="9232" max="9232" width="6.42578125" style="1" customWidth="1"/>
    <col min="9233" max="9470" width="9.140625" style="1"/>
    <col min="9471" max="9471" width="3.5703125" style="1" customWidth="1"/>
    <col min="9472" max="9472" width="33.42578125" style="1" customWidth="1"/>
    <col min="9473" max="9473" width="5.42578125" style="1" customWidth="1"/>
    <col min="9474" max="9474" width="5.7109375" style="1" customWidth="1"/>
    <col min="9475" max="9475" width="6.140625" style="1" customWidth="1"/>
    <col min="9476" max="9476" width="6.5703125" style="1" customWidth="1"/>
    <col min="9477" max="9478" width="0" style="1" hidden="1" customWidth="1"/>
    <col min="9479" max="9479" width="6.5703125" style="1" customWidth="1"/>
    <col min="9480" max="9480" width="3.85546875" style="1" customWidth="1"/>
    <col min="9481" max="9481" width="47.140625" style="1" customWidth="1"/>
    <col min="9482" max="9482" width="6.28515625" style="1" customWidth="1"/>
    <col min="9483" max="9483" width="0" style="1" hidden="1" customWidth="1"/>
    <col min="9484" max="9484" width="6.7109375" style="1" customWidth="1"/>
    <col min="9485" max="9485" width="9.28515625" style="1" customWidth="1"/>
    <col min="9486" max="9486" width="7.7109375" style="1" customWidth="1"/>
    <col min="9487" max="9487" width="7.28515625" style="1" customWidth="1"/>
    <col min="9488" max="9488" width="6.42578125" style="1" customWidth="1"/>
    <col min="9489" max="9726" width="9.140625" style="1"/>
    <col min="9727" max="9727" width="3.5703125" style="1" customWidth="1"/>
    <col min="9728" max="9728" width="33.42578125" style="1" customWidth="1"/>
    <col min="9729" max="9729" width="5.42578125" style="1" customWidth="1"/>
    <col min="9730" max="9730" width="5.7109375" style="1" customWidth="1"/>
    <col min="9731" max="9731" width="6.140625" style="1" customWidth="1"/>
    <col min="9732" max="9732" width="6.5703125" style="1" customWidth="1"/>
    <col min="9733" max="9734" width="0" style="1" hidden="1" customWidth="1"/>
    <col min="9735" max="9735" width="6.5703125" style="1" customWidth="1"/>
    <col min="9736" max="9736" width="3.85546875" style="1" customWidth="1"/>
    <col min="9737" max="9737" width="47.140625" style="1" customWidth="1"/>
    <col min="9738" max="9738" width="6.28515625" style="1" customWidth="1"/>
    <col min="9739" max="9739" width="0" style="1" hidden="1" customWidth="1"/>
    <col min="9740" max="9740" width="6.7109375" style="1" customWidth="1"/>
    <col min="9741" max="9741" width="9.28515625" style="1" customWidth="1"/>
    <col min="9742" max="9742" width="7.7109375" style="1" customWidth="1"/>
    <col min="9743" max="9743" width="7.28515625" style="1" customWidth="1"/>
    <col min="9744" max="9744" width="6.42578125" style="1" customWidth="1"/>
    <col min="9745" max="9982" width="9.140625" style="1"/>
    <col min="9983" max="9983" width="3.5703125" style="1" customWidth="1"/>
    <col min="9984" max="9984" width="33.42578125" style="1" customWidth="1"/>
    <col min="9985" max="9985" width="5.42578125" style="1" customWidth="1"/>
    <col min="9986" max="9986" width="5.7109375" style="1" customWidth="1"/>
    <col min="9987" max="9987" width="6.140625" style="1" customWidth="1"/>
    <col min="9988" max="9988" width="6.5703125" style="1" customWidth="1"/>
    <col min="9989" max="9990" width="0" style="1" hidden="1" customWidth="1"/>
    <col min="9991" max="9991" width="6.5703125" style="1" customWidth="1"/>
    <col min="9992" max="9992" width="3.85546875" style="1" customWidth="1"/>
    <col min="9993" max="9993" width="47.140625" style="1" customWidth="1"/>
    <col min="9994" max="9994" width="6.28515625" style="1" customWidth="1"/>
    <col min="9995" max="9995" width="0" style="1" hidden="1" customWidth="1"/>
    <col min="9996" max="9996" width="6.7109375" style="1" customWidth="1"/>
    <col min="9997" max="9997" width="9.28515625" style="1" customWidth="1"/>
    <col min="9998" max="9998" width="7.7109375" style="1" customWidth="1"/>
    <col min="9999" max="9999" width="7.28515625" style="1" customWidth="1"/>
    <col min="10000" max="10000" width="6.42578125" style="1" customWidth="1"/>
    <col min="10001" max="10238" width="9.140625" style="1"/>
    <col min="10239" max="10239" width="3.5703125" style="1" customWidth="1"/>
    <col min="10240" max="10240" width="33.42578125" style="1" customWidth="1"/>
    <col min="10241" max="10241" width="5.42578125" style="1" customWidth="1"/>
    <col min="10242" max="10242" width="5.7109375" style="1" customWidth="1"/>
    <col min="10243" max="10243" width="6.140625" style="1" customWidth="1"/>
    <col min="10244" max="10244" width="6.5703125" style="1" customWidth="1"/>
    <col min="10245" max="10246" width="0" style="1" hidden="1" customWidth="1"/>
    <col min="10247" max="10247" width="6.5703125" style="1" customWidth="1"/>
    <col min="10248" max="10248" width="3.85546875" style="1" customWidth="1"/>
    <col min="10249" max="10249" width="47.140625" style="1" customWidth="1"/>
    <col min="10250" max="10250" width="6.28515625" style="1" customWidth="1"/>
    <col min="10251" max="10251" width="0" style="1" hidden="1" customWidth="1"/>
    <col min="10252" max="10252" width="6.7109375" style="1" customWidth="1"/>
    <col min="10253" max="10253" width="9.28515625" style="1" customWidth="1"/>
    <col min="10254" max="10254" width="7.7109375" style="1" customWidth="1"/>
    <col min="10255" max="10255" width="7.28515625" style="1" customWidth="1"/>
    <col min="10256" max="10256" width="6.42578125" style="1" customWidth="1"/>
    <col min="10257" max="10494" width="9.140625" style="1"/>
    <col min="10495" max="10495" width="3.5703125" style="1" customWidth="1"/>
    <col min="10496" max="10496" width="33.42578125" style="1" customWidth="1"/>
    <col min="10497" max="10497" width="5.42578125" style="1" customWidth="1"/>
    <col min="10498" max="10498" width="5.7109375" style="1" customWidth="1"/>
    <col min="10499" max="10499" width="6.140625" style="1" customWidth="1"/>
    <col min="10500" max="10500" width="6.5703125" style="1" customWidth="1"/>
    <col min="10501" max="10502" width="0" style="1" hidden="1" customWidth="1"/>
    <col min="10503" max="10503" width="6.5703125" style="1" customWidth="1"/>
    <col min="10504" max="10504" width="3.85546875" style="1" customWidth="1"/>
    <col min="10505" max="10505" width="47.140625" style="1" customWidth="1"/>
    <col min="10506" max="10506" width="6.28515625" style="1" customWidth="1"/>
    <col min="10507" max="10507" width="0" style="1" hidden="1" customWidth="1"/>
    <col min="10508" max="10508" width="6.7109375" style="1" customWidth="1"/>
    <col min="10509" max="10509" width="9.28515625" style="1" customWidth="1"/>
    <col min="10510" max="10510" width="7.7109375" style="1" customWidth="1"/>
    <col min="10511" max="10511" width="7.28515625" style="1" customWidth="1"/>
    <col min="10512" max="10512" width="6.42578125" style="1" customWidth="1"/>
    <col min="10513" max="10750" width="9.140625" style="1"/>
    <col min="10751" max="10751" width="3.5703125" style="1" customWidth="1"/>
    <col min="10752" max="10752" width="33.42578125" style="1" customWidth="1"/>
    <col min="10753" max="10753" width="5.42578125" style="1" customWidth="1"/>
    <col min="10754" max="10754" width="5.7109375" style="1" customWidth="1"/>
    <col min="10755" max="10755" width="6.140625" style="1" customWidth="1"/>
    <col min="10756" max="10756" width="6.5703125" style="1" customWidth="1"/>
    <col min="10757" max="10758" width="0" style="1" hidden="1" customWidth="1"/>
    <col min="10759" max="10759" width="6.5703125" style="1" customWidth="1"/>
    <col min="10760" max="10760" width="3.85546875" style="1" customWidth="1"/>
    <col min="10761" max="10761" width="47.140625" style="1" customWidth="1"/>
    <col min="10762" max="10762" width="6.28515625" style="1" customWidth="1"/>
    <col min="10763" max="10763" width="0" style="1" hidden="1" customWidth="1"/>
    <col min="10764" max="10764" width="6.7109375" style="1" customWidth="1"/>
    <col min="10765" max="10765" width="9.28515625" style="1" customWidth="1"/>
    <col min="10766" max="10766" width="7.7109375" style="1" customWidth="1"/>
    <col min="10767" max="10767" width="7.28515625" style="1" customWidth="1"/>
    <col min="10768" max="10768" width="6.42578125" style="1" customWidth="1"/>
    <col min="10769" max="11006" width="9.140625" style="1"/>
    <col min="11007" max="11007" width="3.5703125" style="1" customWidth="1"/>
    <col min="11008" max="11008" width="33.42578125" style="1" customWidth="1"/>
    <col min="11009" max="11009" width="5.42578125" style="1" customWidth="1"/>
    <col min="11010" max="11010" width="5.7109375" style="1" customWidth="1"/>
    <col min="11011" max="11011" width="6.140625" style="1" customWidth="1"/>
    <col min="11012" max="11012" width="6.5703125" style="1" customWidth="1"/>
    <col min="11013" max="11014" width="0" style="1" hidden="1" customWidth="1"/>
    <col min="11015" max="11015" width="6.5703125" style="1" customWidth="1"/>
    <col min="11016" max="11016" width="3.85546875" style="1" customWidth="1"/>
    <col min="11017" max="11017" width="47.140625" style="1" customWidth="1"/>
    <col min="11018" max="11018" width="6.28515625" style="1" customWidth="1"/>
    <col min="11019" max="11019" width="0" style="1" hidden="1" customWidth="1"/>
    <col min="11020" max="11020" width="6.7109375" style="1" customWidth="1"/>
    <col min="11021" max="11021" width="9.28515625" style="1" customWidth="1"/>
    <col min="11022" max="11022" width="7.7109375" style="1" customWidth="1"/>
    <col min="11023" max="11023" width="7.28515625" style="1" customWidth="1"/>
    <col min="11024" max="11024" width="6.42578125" style="1" customWidth="1"/>
    <col min="11025" max="11262" width="9.140625" style="1"/>
    <col min="11263" max="11263" width="3.5703125" style="1" customWidth="1"/>
    <col min="11264" max="11264" width="33.42578125" style="1" customWidth="1"/>
    <col min="11265" max="11265" width="5.42578125" style="1" customWidth="1"/>
    <col min="11266" max="11266" width="5.7109375" style="1" customWidth="1"/>
    <col min="11267" max="11267" width="6.140625" style="1" customWidth="1"/>
    <col min="11268" max="11268" width="6.5703125" style="1" customWidth="1"/>
    <col min="11269" max="11270" width="0" style="1" hidden="1" customWidth="1"/>
    <col min="11271" max="11271" width="6.5703125" style="1" customWidth="1"/>
    <col min="11272" max="11272" width="3.85546875" style="1" customWidth="1"/>
    <col min="11273" max="11273" width="47.140625" style="1" customWidth="1"/>
    <col min="11274" max="11274" width="6.28515625" style="1" customWidth="1"/>
    <col min="11275" max="11275" width="0" style="1" hidden="1" customWidth="1"/>
    <col min="11276" max="11276" width="6.7109375" style="1" customWidth="1"/>
    <col min="11277" max="11277" width="9.28515625" style="1" customWidth="1"/>
    <col min="11278" max="11278" width="7.7109375" style="1" customWidth="1"/>
    <col min="11279" max="11279" width="7.28515625" style="1" customWidth="1"/>
    <col min="11280" max="11280" width="6.42578125" style="1" customWidth="1"/>
    <col min="11281" max="11518" width="9.140625" style="1"/>
    <col min="11519" max="11519" width="3.5703125" style="1" customWidth="1"/>
    <col min="11520" max="11520" width="33.42578125" style="1" customWidth="1"/>
    <col min="11521" max="11521" width="5.42578125" style="1" customWidth="1"/>
    <col min="11522" max="11522" width="5.7109375" style="1" customWidth="1"/>
    <col min="11523" max="11523" width="6.140625" style="1" customWidth="1"/>
    <col min="11524" max="11524" width="6.5703125" style="1" customWidth="1"/>
    <col min="11525" max="11526" width="0" style="1" hidden="1" customWidth="1"/>
    <col min="11527" max="11527" width="6.5703125" style="1" customWidth="1"/>
    <col min="11528" max="11528" width="3.85546875" style="1" customWidth="1"/>
    <col min="11529" max="11529" width="47.140625" style="1" customWidth="1"/>
    <col min="11530" max="11530" width="6.28515625" style="1" customWidth="1"/>
    <col min="11531" max="11531" width="0" style="1" hidden="1" customWidth="1"/>
    <col min="11532" max="11532" width="6.7109375" style="1" customWidth="1"/>
    <col min="11533" max="11533" width="9.28515625" style="1" customWidth="1"/>
    <col min="11534" max="11534" width="7.7109375" style="1" customWidth="1"/>
    <col min="11535" max="11535" width="7.28515625" style="1" customWidth="1"/>
    <col min="11536" max="11536" width="6.42578125" style="1" customWidth="1"/>
    <col min="11537" max="11774" width="9.140625" style="1"/>
    <col min="11775" max="11775" width="3.5703125" style="1" customWidth="1"/>
    <col min="11776" max="11776" width="33.42578125" style="1" customWidth="1"/>
    <col min="11777" max="11777" width="5.42578125" style="1" customWidth="1"/>
    <col min="11778" max="11778" width="5.7109375" style="1" customWidth="1"/>
    <col min="11779" max="11779" width="6.140625" style="1" customWidth="1"/>
    <col min="11780" max="11780" width="6.5703125" style="1" customWidth="1"/>
    <col min="11781" max="11782" width="0" style="1" hidden="1" customWidth="1"/>
    <col min="11783" max="11783" width="6.5703125" style="1" customWidth="1"/>
    <col min="11784" max="11784" width="3.85546875" style="1" customWidth="1"/>
    <col min="11785" max="11785" width="47.140625" style="1" customWidth="1"/>
    <col min="11786" max="11786" width="6.28515625" style="1" customWidth="1"/>
    <col min="11787" max="11787" width="0" style="1" hidden="1" customWidth="1"/>
    <col min="11788" max="11788" width="6.7109375" style="1" customWidth="1"/>
    <col min="11789" max="11789" width="9.28515625" style="1" customWidth="1"/>
    <col min="11790" max="11790" width="7.7109375" style="1" customWidth="1"/>
    <col min="11791" max="11791" width="7.28515625" style="1" customWidth="1"/>
    <col min="11792" max="11792" width="6.42578125" style="1" customWidth="1"/>
    <col min="11793" max="12030" width="9.140625" style="1"/>
    <col min="12031" max="12031" width="3.5703125" style="1" customWidth="1"/>
    <col min="12032" max="12032" width="33.42578125" style="1" customWidth="1"/>
    <col min="12033" max="12033" width="5.42578125" style="1" customWidth="1"/>
    <col min="12034" max="12034" width="5.7109375" style="1" customWidth="1"/>
    <col min="12035" max="12035" width="6.140625" style="1" customWidth="1"/>
    <col min="12036" max="12036" width="6.5703125" style="1" customWidth="1"/>
    <col min="12037" max="12038" width="0" style="1" hidden="1" customWidth="1"/>
    <col min="12039" max="12039" width="6.5703125" style="1" customWidth="1"/>
    <col min="12040" max="12040" width="3.85546875" style="1" customWidth="1"/>
    <col min="12041" max="12041" width="47.140625" style="1" customWidth="1"/>
    <col min="12042" max="12042" width="6.28515625" style="1" customWidth="1"/>
    <col min="12043" max="12043" width="0" style="1" hidden="1" customWidth="1"/>
    <col min="12044" max="12044" width="6.7109375" style="1" customWidth="1"/>
    <col min="12045" max="12045" width="9.28515625" style="1" customWidth="1"/>
    <col min="12046" max="12046" width="7.7109375" style="1" customWidth="1"/>
    <col min="12047" max="12047" width="7.28515625" style="1" customWidth="1"/>
    <col min="12048" max="12048" width="6.42578125" style="1" customWidth="1"/>
    <col min="12049" max="12286" width="9.140625" style="1"/>
    <col min="12287" max="12287" width="3.5703125" style="1" customWidth="1"/>
    <col min="12288" max="12288" width="33.42578125" style="1" customWidth="1"/>
    <col min="12289" max="12289" width="5.42578125" style="1" customWidth="1"/>
    <col min="12290" max="12290" width="5.7109375" style="1" customWidth="1"/>
    <col min="12291" max="12291" width="6.140625" style="1" customWidth="1"/>
    <col min="12292" max="12292" width="6.5703125" style="1" customWidth="1"/>
    <col min="12293" max="12294" width="0" style="1" hidden="1" customWidth="1"/>
    <col min="12295" max="12295" width="6.5703125" style="1" customWidth="1"/>
    <col min="12296" max="12296" width="3.85546875" style="1" customWidth="1"/>
    <col min="12297" max="12297" width="47.140625" style="1" customWidth="1"/>
    <col min="12298" max="12298" width="6.28515625" style="1" customWidth="1"/>
    <col min="12299" max="12299" width="0" style="1" hidden="1" customWidth="1"/>
    <col min="12300" max="12300" width="6.7109375" style="1" customWidth="1"/>
    <col min="12301" max="12301" width="9.28515625" style="1" customWidth="1"/>
    <col min="12302" max="12302" width="7.7109375" style="1" customWidth="1"/>
    <col min="12303" max="12303" width="7.28515625" style="1" customWidth="1"/>
    <col min="12304" max="12304" width="6.42578125" style="1" customWidth="1"/>
    <col min="12305" max="12542" width="9.140625" style="1"/>
    <col min="12543" max="12543" width="3.5703125" style="1" customWidth="1"/>
    <col min="12544" max="12544" width="33.42578125" style="1" customWidth="1"/>
    <col min="12545" max="12545" width="5.42578125" style="1" customWidth="1"/>
    <col min="12546" max="12546" width="5.7109375" style="1" customWidth="1"/>
    <col min="12547" max="12547" width="6.140625" style="1" customWidth="1"/>
    <col min="12548" max="12548" width="6.5703125" style="1" customWidth="1"/>
    <col min="12549" max="12550" width="0" style="1" hidden="1" customWidth="1"/>
    <col min="12551" max="12551" width="6.5703125" style="1" customWidth="1"/>
    <col min="12552" max="12552" width="3.85546875" style="1" customWidth="1"/>
    <col min="12553" max="12553" width="47.140625" style="1" customWidth="1"/>
    <col min="12554" max="12554" width="6.28515625" style="1" customWidth="1"/>
    <col min="12555" max="12555" width="0" style="1" hidden="1" customWidth="1"/>
    <col min="12556" max="12556" width="6.7109375" style="1" customWidth="1"/>
    <col min="12557" max="12557" width="9.28515625" style="1" customWidth="1"/>
    <col min="12558" max="12558" width="7.7109375" style="1" customWidth="1"/>
    <col min="12559" max="12559" width="7.28515625" style="1" customWidth="1"/>
    <col min="12560" max="12560" width="6.42578125" style="1" customWidth="1"/>
    <col min="12561" max="12798" width="9.140625" style="1"/>
    <col min="12799" max="12799" width="3.5703125" style="1" customWidth="1"/>
    <col min="12800" max="12800" width="33.42578125" style="1" customWidth="1"/>
    <col min="12801" max="12801" width="5.42578125" style="1" customWidth="1"/>
    <col min="12802" max="12802" width="5.7109375" style="1" customWidth="1"/>
    <col min="12803" max="12803" width="6.140625" style="1" customWidth="1"/>
    <col min="12804" max="12804" width="6.5703125" style="1" customWidth="1"/>
    <col min="12805" max="12806" width="0" style="1" hidden="1" customWidth="1"/>
    <col min="12807" max="12807" width="6.5703125" style="1" customWidth="1"/>
    <col min="12808" max="12808" width="3.85546875" style="1" customWidth="1"/>
    <col min="12809" max="12809" width="47.140625" style="1" customWidth="1"/>
    <col min="12810" max="12810" width="6.28515625" style="1" customWidth="1"/>
    <col min="12811" max="12811" width="0" style="1" hidden="1" customWidth="1"/>
    <col min="12812" max="12812" width="6.7109375" style="1" customWidth="1"/>
    <col min="12813" max="12813" width="9.28515625" style="1" customWidth="1"/>
    <col min="12814" max="12814" width="7.7109375" style="1" customWidth="1"/>
    <col min="12815" max="12815" width="7.28515625" style="1" customWidth="1"/>
    <col min="12816" max="12816" width="6.42578125" style="1" customWidth="1"/>
    <col min="12817" max="13054" width="9.140625" style="1"/>
    <col min="13055" max="13055" width="3.5703125" style="1" customWidth="1"/>
    <col min="13056" max="13056" width="33.42578125" style="1" customWidth="1"/>
    <col min="13057" max="13057" width="5.42578125" style="1" customWidth="1"/>
    <col min="13058" max="13058" width="5.7109375" style="1" customWidth="1"/>
    <col min="13059" max="13059" width="6.140625" style="1" customWidth="1"/>
    <col min="13060" max="13060" width="6.5703125" style="1" customWidth="1"/>
    <col min="13061" max="13062" width="0" style="1" hidden="1" customWidth="1"/>
    <col min="13063" max="13063" width="6.5703125" style="1" customWidth="1"/>
    <col min="13064" max="13064" width="3.85546875" style="1" customWidth="1"/>
    <col min="13065" max="13065" width="47.140625" style="1" customWidth="1"/>
    <col min="13066" max="13066" width="6.28515625" style="1" customWidth="1"/>
    <col min="13067" max="13067" width="0" style="1" hidden="1" customWidth="1"/>
    <col min="13068" max="13068" width="6.7109375" style="1" customWidth="1"/>
    <col min="13069" max="13069" width="9.28515625" style="1" customWidth="1"/>
    <col min="13070" max="13070" width="7.7109375" style="1" customWidth="1"/>
    <col min="13071" max="13071" width="7.28515625" style="1" customWidth="1"/>
    <col min="13072" max="13072" width="6.42578125" style="1" customWidth="1"/>
    <col min="13073" max="13310" width="9.140625" style="1"/>
    <col min="13311" max="13311" width="3.5703125" style="1" customWidth="1"/>
    <col min="13312" max="13312" width="33.42578125" style="1" customWidth="1"/>
    <col min="13313" max="13313" width="5.42578125" style="1" customWidth="1"/>
    <col min="13314" max="13314" width="5.7109375" style="1" customWidth="1"/>
    <col min="13315" max="13315" width="6.140625" style="1" customWidth="1"/>
    <col min="13316" max="13316" width="6.5703125" style="1" customWidth="1"/>
    <col min="13317" max="13318" width="0" style="1" hidden="1" customWidth="1"/>
    <col min="13319" max="13319" width="6.5703125" style="1" customWidth="1"/>
    <col min="13320" max="13320" width="3.85546875" style="1" customWidth="1"/>
    <col min="13321" max="13321" width="47.140625" style="1" customWidth="1"/>
    <col min="13322" max="13322" width="6.28515625" style="1" customWidth="1"/>
    <col min="13323" max="13323" width="0" style="1" hidden="1" customWidth="1"/>
    <col min="13324" max="13324" width="6.7109375" style="1" customWidth="1"/>
    <col min="13325" max="13325" width="9.28515625" style="1" customWidth="1"/>
    <col min="13326" max="13326" width="7.7109375" style="1" customWidth="1"/>
    <col min="13327" max="13327" width="7.28515625" style="1" customWidth="1"/>
    <col min="13328" max="13328" width="6.42578125" style="1" customWidth="1"/>
    <col min="13329" max="13566" width="9.140625" style="1"/>
    <col min="13567" max="13567" width="3.5703125" style="1" customWidth="1"/>
    <col min="13568" max="13568" width="33.42578125" style="1" customWidth="1"/>
    <col min="13569" max="13569" width="5.42578125" style="1" customWidth="1"/>
    <col min="13570" max="13570" width="5.7109375" style="1" customWidth="1"/>
    <col min="13571" max="13571" width="6.140625" style="1" customWidth="1"/>
    <col min="13572" max="13572" width="6.5703125" style="1" customWidth="1"/>
    <col min="13573" max="13574" width="0" style="1" hidden="1" customWidth="1"/>
    <col min="13575" max="13575" width="6.5703125" style="1" customWidth="1"/>
    <col min="13576" max="13576" width="3.85546875" style="1" customWidth="1"/>
    <col min="13577" max="13577" width="47.140625" style="1" customWidth="1"/>
    <col min="13578" max="13578" width="6.28515625" style="1" customWidth="1"/>
    <col min="13579" max="13579" width="0" style="1" hidden="1" customWidth="1"/>
    <col min="13580" max="13580" width="6.7109375" style="1" customWidth="1"/>
    <col min="13581" max="13581" width="9.28515625" style="1" customWidth="1"/>
    <col min="13582" max="13582" width="7.7109375" style="1" customWidth="1"/>
    <col min="13583" max="13583" width="7.28515625" style="1" customWidth="1"/>
    <col min="13584" max="13584" width="6.42578125" style="1" customWidth="1"/>
    <col min="13585" max="13822" width="9.140625" style="1"/>
    <col min="13823" max="13823" width="3.5703125" style="1" customWidth="1"/>
    <col min="13824" max="13824" width="33.42578125" style="1" customWidth="1"/>
    <col min="13825" max="13825" width="5.42578125" style="1" customWidth="1"/>
    <col min="13826" max="13826" width="5.7109375" style="1" customWidth="1"/>
    <col min="13827" max="13827" width="6.140625" style="1" customWidth="1"/>
    <col min="13828" max="13828" width="6.5703125" style="1" customWidth="1"/>
    <col min="13829" max="13830" width="0" style="1" hidden="1" customWidth="1"/>
    <col min="13831" max="13831" width="6.5703125" style="1" customWidth="1"/>
    <col min="13832" max="13832" width="3.85546875" style="1" customWidth="1"/>
    <col min="13833" max="13833" width="47.140625" style="1" customWidth="1"/>
    <col min="13834" max="13834" width="6.28515625" style="1" customWidth="1"/>
    <col min="13835" max="13835" width="0" style="1" hidden="1" customWidth="1"/>
    <col min="13836" max="13836" width="6.7109375" style="1" customWidth="1"/>
    <col min="13837" max="13837" width="9.28515625" style="1" customWidth="1"/>
    <col min="13838" max="13838" width="7.7109375" style="1" customWidth="1"/>
    <col min="13839" max="13839" width="7.28515625" style="1" customWidth="1"/>
    <col min="13840" max="13840" width="6.42578125" style="1" customWidth="1"/>
    <col min="13841" max="14078" width="9.140625" style="1"/>
    <col min="14079" max="14079" width="3.5703125" style="1" customWidth="1"/>
    <col min="14080" max="14080" width="33.42578125" style="1" customWidth="1"/>
    <col min="14081" max="14081" width="5.42578125" style="1" customWidth="1"/>
    <col min="14082" max="14082" width="5.7109375" style="1" customWidth="1"/>
    <col min="14083" max="14083" width="6.140625" style="1" customWidth="1"/>
    <col min="14084" max="14084" width="6.5703125" style="1" customWidth="1"/>
    <col min="14085" max="14086" width="0" style="1" hidden="1" customWidth="1"/>
    <col min="14087" max="14087" width="6.5703125" style="1" customWidth="1"/>
    <col min="14088" max="14088" width="3.85546875" style="1" customWidth="1"/>
    <col min="14089" max="14089" width="47.140625" style="1" customWidth="1"/>
    <col min="14090" max="14090" width="6.28515625" style="1" customWidth="1"/>
    <col min="14091" max="14091" width="0" style="1" hidden="1" customWidth="1"/>
    <col min="14092" max="14092" width="6.7109375" style="1" customWidth="1"/>
    <col min="14093" max="14093" width="9.28515625" style="1" customWidth="1"/>
    <col min="14094" max="14094" width="7.7109375" style="1" customWidth="1"/>
    <col min="14095" max="14095" width="7.28515625" style="1" customWidth="1"/>
    <col min="14096" max="14096" width="6.42578125" style="1" customWidth="1"/>
    <col min="14097" max="14334" width="9.140625" style="1"/>
    <col min="14335" max="14335" width="3.5703125" style="1" customWidth="1"/>
    <col min="14336" max="14336" width="33.42578125" style="1" customWidth="1"/>
    <col min="14337" max="14337" width="5.42578125" style="1" customWidth="1"/>
    <col min="14338" max="14338" width="5.7109375" style="1" customWidth="1"/>
    <col min="14339" max="14339" width="6.140625" style="1" customWidth="1"/>
    <col min="14340" max="14340" width="6.5703125" style="1" customWidth="1"/>
    <col min="14341" max="14342" width="0" style="1" hidden="1" customWidth="1"/>
    <col min="14343" max="14343" width="6.5703125" style="1" customWidth="1"/>
    <col min="14344" max="14344" width="3.85546875" style="1" customWidth="1"/>
    <col min="14345" max="14345" width="47.140625" style="1" customWidth="1"/>
    <col min="14346" max="14346" width="6.28515625" style="1" customWidth="1"/>
    <col min="14347" max="14347" width="0" style="1" hidden="1" customWidth="1"/>
    <col min="14348" max="14348" width="6.7109375" style="1" customWidth="1"/>
    <col min="14349" max="14349" width="9.28515625" style="1" customWidth="1"/>
    <col min="14350" max="14350" width="7.7109375" style="1" customWidth="1"/>
    <col min="14351" max="14351" width="7.28515625" style="1" customWidth="1"/>
    <col min="14352" max="14352" width="6.42578125" style="1" customWidth="1"/>
    <col min="14353" max="14590" width="9.140625" style="1"/>
    <col min="14591" max="14591" width="3.5703125" style="1" customWidth="1"/>
    <col min="14592" max="14592" width="33.42578125" style="1" customWidth="1"/>
    <col min="14593" max="14593" width="5.42578125" style="1" customWidth="1"/>
    <col min="14594" max="14594" width="5.7109375" style="1" customWidth="1"/>
    <col min="14595" max="14595" width="6.140625" style="1" customWidth="1"/>
    <col min="14596" max="14596" width="6.5703125" style="1" customWidth="1"/>
    <col min="14597" max="14598" width="0" style="1" hidden="1" customWidth="1"/>
    <col min="14599" max="14599" width="6.5703125" style="1" customWidth="1"/>
    <col min="14600" max="14600" width="3.85546875" style="1" customWidth="1"/>
    <col min="14601" max="14601" width="47.140625" style="1" customWidth="1"/>
    <col min="14602" max="14602" width="6.28515625" style="1" customWidth="1"/>
    <col min="14603" max="14603" width="0" style="1" hidden="1" customWidth="1"/>
    <col min="14604" max="14604" width="6.7109375" style="1" customWidth="1"/>
    <col min="14605" max="14605" width="9.28515625" style="1" customWidth="1"/>
    <col min="14606" max="14606" width="7.7109375" style="1" customWidth="1"/>
    <col min="14607" max="14607" width="7.28515625" style="1" customWidth="1"/>
    <col min="14608" max="14608" width="6.42578125" style="1" customWidth="1"/>
    <col min="14609" max="14846" width="9.140625" style="1"/>
    <col min="14847" max="14847" width="3.5703125" style="1" customWidth="1"/>
    <col min="14848" max="14848" width="33.42578125" style="1" customWidth="1"/>
    <col min="14849" max="14849" width="5.42578125" style="1" customWidth="1"/>
    <col min="14850" max="14850" width="5.7109375" style="1" customWidth="1"/>
    <col min="14851" max="14851" width="6.140625" style="1" customWidth="1"/>
    <col min="14852" max="14852" width="6.5703125" style="1" customWidth="1"/>
    <col min="14853" max="14854" width="0" style="1" hidden="1" customWidth="1"/>
    <col min="14855" max="14855" width="6.5703125" style="1" customWidth="1"/>
    <col min="14856" max="14856" width="3.85546875" style="1" customWidth="1"/>
    <col min="14857" max="14857" width="47.140625" style="1" customWidth="1"/>
    <col min="14858" max="14858" width="6.28515625" style="1" customWidth="1"/>
    <col min="14859" max="14859" width="0" style="1" hidden="1" customWidth="1"/>
    <col min="14860" max="14860" width="6.7109375" style="1" customWidth="1"/>
    <col min="14861" max="14861" width="9.28515625" style="1" customWidth="1"/>
    <col min="14862" max="14862" width="7.7109375" style="1" customWidth="1"/>
    <col min="14863" max="14863" width="7.28515625" style="1" customWidth="1"/>
    <col min="14864" max="14864" width="6.42578125" style="1" customWidth="1"/>
    <col min="14865" max="15102" width="9.140625" style="1"/>
    <col min="15103" max="15103" width="3.5703125" style="1" customWidth="1"/>
    <col min="15104" max="15104" width="33.42578125" style="1" customWidth="1"/>
    <col min="15105" max="15105" width="5.42578125" style="1" customWidth="1"/>
    <col min="15106" max="15106" width="5.7109375" style="1" customWidth="1"/>
    <col min="15107" max="15107" width="6.140625" style="1" customWidth="1"/>
    <col min="15108" max="15108" width="6.5703125" style="1" customWidth="1"/>
    <col min="15109" max="15110" width="0" style="1" hidden="1" customWidth="1"/>
    <col min="15111" max="15111" width="6.5703125" style="1" customWidth="1"/>
    <col min="15112" max="15112" width="3.85546875" style="1" customWidth="1"/>
    <col min="15113" max="15113" width="47.140625" style="1" customWidth="1"/>
    <col min="15114" max="15114" width="6.28515625" style="1" customWidth="1"/>
    <col min="15115" max="15115" width="0" style="1" hidden="1" customWidth="1"/>
    <col min="15116" max="15116" width="6.7109375" style="1" customWidth="1"/>
    <col min="15117" max="15117" width="9.28515625" style="1" customWidth="1"/>
    <col min="15118" max="15118" width="7.7109375" style="1" customWidth="1"/>
    <col min="15119" max="15119" width="7.28515625" style="1" customWidth="1"/>
    <col min="15120" max="15120" width="6.42578125" style="1" customWidth="1"/>
    <col min="15121" max="15358" width="9.140625" style="1"/>
    <col min="15359" max="15359" width="3.5703125" style="1" customWidth="1"/>
    <col min="15360" max="15360" width="33.42578125" style="1" customWidth="1"/>
    <col min="15361" max="15361" width="5.42578125" style="1" customWidth="1"/>
    <col min="15362" max="15362" width="5.7109375" style="1" customWidth="1"/>
    <col min="15363" max="15363" width="6.140625" style="1" customWidth="1"/>
    <col min="15364" max="15364" width="6.5703125" style="1" customWidth="1"/>
    <col min="15365" max="15366" width="0" style="1" hidden="1" customWidth="1"/>
    <col min="15367" max="15367" width="6.5703125" style="1" customWidth="1"/>
    <col min="15368" max="15368" width="3.85546875" style="1" customWidth="1"/>
    <col min="15369" max="15369" width="47.140625" style="1" customWidth="1"/>
    <col min="15370" max="15370" width="6.28515625" style="1" customWidth="1"/>
    <col min="15371" max="15371" width="0" style="1" hidden="1" customWidth="1"/>
    <col min="15372" max="15372" width="6.7109375" style="1" customWidth="1"/>
    <col min="15373" max="15373" width="9.28515625" style="1" customWidth="1"/>
    <col min="15374" max="15374" width="7.7109375" style="1" customWidth="1"/>
    <col min="15375" max="15375" width="7.28515625" style="1" customWidth="1"/>
    <col min="15376" max="15376" width="6.42578125" style="1" customWidth="1"/>
    <col min="15377" max="15614" width="9.140625" style="1"/>
    <col min="15615" max="15615" width="3.5703125" style="1" customWidth="1"/>
    <col min="15616" max="15616" width="33.42578125" style="1" customWidth="1"/>
    <col min="15617" max="15617" width="5.42578125" style="1" customWidth="1"/>
    <col min="15618" max="15618" width="5.7109375" style="1" customWidth="1"/>
    <col min="15619" max="15619" width="6.140625" style="1" customWidth="1"/>
    <col min="15620" max="15620" width="6.5703125" style="1" customWidth="1"/>
    <col min="15621" max="15622" width="0" style="1" hidden="1" customWidth="1"/>
    <col min="15623" max="15623" width="6.5703125" style="1" customWidth="1"/>
    <col min="15624" max="15624" width="3.85546875" style="1" customWidth="1"/>
    <col min="15625" max="15625" width="47.140625" style="1" customWidth="1"/>
    <col min="15626" max="15626" width="6.28515625" style="1" customWidth="1"/>
    <col min="15627" max="15627" width="0" style="1" hidden="1" customWidth="1"/>
    <col min="15628" max="15628" width="6.7109375" style="1" customWidth="1"/>
    <col min="15629" max="15629" width="9.28515625" style="1" customWidth="1"/>
    <col min="15630" max="15630" width="7.7109375" style="1" customWidth="1"/>
    <col min="15631" max="15631" width="7.28515625" style="1" customWidth="1"/>
    <col min="15632" max="15632" width="6.42578125" style="1" customWidth="1"/>
    <col min="15633" max="15870" width="9.140625" style="1"/>
    <col min="15871" max="15871" width="3.5703125" style="1" customWidth="1"/>
    <col min="15872" max="15872" width="33.42578125" style="1" customWidth="1"/>
    <col min="15873" max="15873" width="5.42578125" style="1" customWidth="1"/>
    <col min="15874" max="15874" width="5.7109375" style="1" customWidth="1"/>
    <col min="15875" max="15875" width="6.140625" style="1" customWidth="1"/>
    <col min="15876" max="15876" width="6.5703125" style="1" customWidth="1"/>
    <col min="15877" max="15878" width="0" style="1" hidden="1" customWidth="1"/>
    <col min="15879" max="15879" width="6.5703125" style="1" customWidth="1"/>
    <col min="15880" max="15880" width="3.85546875" style="1" customWidth="1"/>
    <col min="15881" max="15881" width="47.140625" style="1" customWidth="1"/>
    <col min="15882" max="15882" width="6.28515625" style="1" customWidth="1"/>
    <col min="15883" max="15883" width="0" style="1" hidden="1" customWidth="1"/>
    <col min="15884" max="15884" width="6.7109375" style="1" customWidth="1"/>
    <col min="15885" max="15885" width="9.28515625" style="1" customWidth="1"/>
    <col min="15886" max="15886" width="7.7109375" style="1" customWidth="1"/>
    <col min="15887" max="15887" width="7.28515625" style="1" customWidth="1"/>
    <col min="15888" max="15888" width="6.42578125" style="1" customWidth="1"/>
    <col min="15889" max="16126" width="9.140625" style="1"/>
    <col min="16127" max="16127" width="3.5703125" style="1" customWidth="1"/>
    <col min="16128" max="16128" width="33.42578125" style="1" customWidth="1"/>
    <col min="16129" max="16129" width="5.42578125" style="1" customWidth="1"/>
    <col min="16130" max="16130" width="5.7109375" style="1" customWidth="1"/>
    <col min="16131" max="16131" width="6.140625" style="1" customWidth="1"/>
    <col min="16132" max="16132" width="6.5703125" style="1" customWidth="1"/>
    <col min="16133" max="16134" width="0" style="1" hidden="1" customWidth="1"/>
    <col min="16135" max="16135" width="6.5703125" style="1" customWidth="1"/>
    <col min="16136" max="16136" width="3.85546875" style="1" customWidth="1"/>
    <col min="16137" max="16137" width="47.140625" style="1" customWidth="1"/>
    <col min="16138" max="16138" width="6.28515625" style="1" customWidth="1"/>
    <col min="16139" max="16139" width="0" style="1" hidden="1" customWidth="1"/>
    <col min="16140" max="16140" width="6.7109375" style="1" customWidth="1"/>
    <col min="16141" max="16141" width="9.28515625" style="1" customWidth="1"/>
    <col min="16142" max="16142" width="7.7109375" style="1" customWidth="1"/>
    <col min="16143" max="16143" width="7.28515625" style="1" customWidth="1"/>
    <col min="16144" max="16144" width="6.42578125" style="1" customWidth="1"/>
    <col min="16145" max="16384" width="9.140625" style="1"/>
  </cols>
  <sheetData>
    <row r="1" spans="1:16">
      <c r="O1" s="2" t="s">
        <v>0</v>
      </c>
    </row>
    <row r="2" spans="1:16" s="4" customFormat="1" ht="16.5" customHeight="1">
      <c r="A2" s="3" t="s">
        <v>47</v>
      </c>
      <c r="I2" s="5" t="s">
        <v>96</v>
      </c>
      <c r="K2" s="78"/>
      <c r="L2" s="78"/>
    </row>
    <row r="3" spans="1:16" s="4" customFormat="1" ht="15">
      <c r="A3" s="6" t="s">
        <v>94</v>
      </c>
      <c r="B3" s="6"/>
      <c r="C3" s="6"/>
      <c r="D3" s="6"/>
      <c r="E3" s="6"/>
      <c r="G3" s="7"/>
      <c r="H3" s="7"/>
      <c r="I3" s="7"/>
      <c r="J3" s="7"/>
      <c r="K3" s="79"/>
      <c r="L3" s="79"/>
      <c r="M3" s="8"/>
      <c r="N3" s="9"/>
      <c r="O3" s="9"/>
    </row>
    <row r="4" spans="1:16" s="64" customFormat="1" ht="15">
      <c r="A4" s="63" t="s">
        <v>95</v>
      </c>
      <c r="F4" s="65"/>
      <c r="G4" s="65"/>
      <c r="H4" s="65"/>
      <c r="I4" s="65"/>
      <c r="J4" s="65"/>
      <c r="K4" s="80"/>
      <c r="L4" s="80"/>
      <c r="N4" s="66"/>
      <c r="O4" s="66"/>
    </row>
    <row r="5" spans="1:16" ht="12" customHeight="1">
      <c r="A5" s="4"/>
      <c r="B5" s="4"/>
      <c r="C5" s="4"/>
      <c r="D5" s="4"/>
      <c r="E5" s="4"/>
      <c r="F5" s="11"/>
      <c r="G5" s="11"/>
      <c r="H5" s="11"/>
      <c r="I5" s="11"/>
      <c r="J5" s="11"/>
      <c r="K5" s="81"/>
      <c r="L5" s="81"/>
      <c r="M5" s="12"/>
      <c r="N5" s="12"/>
      <c r="O5" s="13" t="s">
        <v>1</v>
      </c>
    </row>
    <row r="6" spans="1:16" ht="18" customHeight="1">
      <c r="A6" s="285" t="s">
        <v>50</v>
      </c>
      <c r="B6" s="286"/>
      <c r="C6" s="286"/>
      <c r="D6" s="286"/>
      <c r="E6" s="286"/>
      <c r="F6" s="286"/>
      <c r="G6" s="286"/>
      <c r="H6" s="287"/>
      <c r="I6" s="288" t="s">
        <v>60</v>
      </c>
      <c r="J6" s="289"/>
      <c r="K6" s="289"/>
      <c r="L6" s="289"/>
      <c r="M6" s="289"/>
      <c r="N6" s="289"/>
      <c r="O6" s="290"/>
      <c r="P6" s="14"/>
    </row>
    <row r="7" spans="1:16" ht="15" customHeight="1">
      <c r="A7" s="291" t="s">
        <v>2</v>
      </c>
      <c r="B7" s="291" t="s">
        <v>3</v>
      </c>
      <c r="C7" s="280" t="s">
        <v>4</v>
      </c>
      <c r="D7" s="280"/>
      <c r="E7" s="280"/>
      <c r="F7" s="280"/>
      <c r="G7" s="283" t="s">
        <v>5</v>
      </c>
      <c r="H7" s="283" t="s">
        <v>6</v>
      </c>
      <c r="I7" s="291" t="s">
        <v>2</v>
      </c>
      <c r="J7" s="291" t="s">
        <v>3</v>
      </c>
      <c r="K7" s="293" t="s">
        <v>4</v>
      </c>
      <c r="L7" s="294"/>
      <c r="M7" s="294"/>
      <c r="N7" s="294"/>
      <c r="O7" s="283" t="s">
        <v>66</v>
      </c>
    </row>
    <row r="8" spans="1:16" ht="59.25" customHeight="1">
      <c r="A8" s="292"/>
      <c r="B8" s="292"/>
      <c r="C8" s="15" t="s">
        <v>7</v>
      </c>
      <c r="D8" s="15" t="s">
        <v>8</v>
      </c>
      <c r="E8" s="15" t="s">
        <v>49</v>
      </c>
      <c r="F8" s="15" t="s">
        <v>59</v>
      </c>
      <c r="G8" s="284"/>
      <c r="H8" s="284"/>
      <c r="I8" s="292"/>
      <c r="J8" s="292"/>
      <c r="K8" s="82" t="s">
        <v>7</v>
      </c>
      <c r="L8" s="82" t="s">
        <v>8</v>
      </c>
      <c r="M8" s="15" t="s">
        <v>68</v>
      </c>
      <c r="N8" s="16" t="s">
        <v>67</v>
      </c>
      <c r="O8" s="284"/>
      <c r="P8" s="17"/>
    </row>
    <row r="9" spans="1:16">
      <c r="A9" s="18" t="s">
        <v>9</v>
      </c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18" t="s">
        <v>16</v>
      </c>
      <c r="I9" s="18" t="s">
        <v>17</v>
      </c>
      <c r="J9" s="18" t="s">
        <v>18</v>
      </c>
      <c r="K9" s="83" t="s">
        <v>19</v>
      </c>
      <c r="L9" s="83" t="s">
        <v>20</v>
      </c>
      <c r="M9" s="18" t="s">
        <v>21</v>
      </c>
      <c r="N9" s="18" t="s">
        <v>22</v>
      </c>
      <c r="O9" s="18" t="s">
        <v>23</v>
      </c>
      <c r="P9" s="17"/>
    </row>
    <row r="10" spans="1:16" s="25" customFormat="1" ht="14.25">
      <c r="A10" s="19" t="s">
        <v>24</v>
      </c>
      <c r="B10" s="20" t="s">
        <v>97</v>
      </c>
      <c r="C10" s="21"/>
      <c r="D10" s="21"/>
      <c r="E10" s="21"/>
      <c r="F10" s="22"/>
      <c r="G10" s="23"/>
      <c r="H10" s="23"/>
      <c r="I10" s="19" t="s">
        <v>24</v>
      </c>
      <c r="J10" s="20" t="s">
        <v>97</v>
      </c>
      <c r="K10" s="84"/>
      <c r="L10" s="84"/>
      <c r="M10" s="22"/>
      <c r="N10" s="22"/>
      <c r="O10" s="23"/>
      <c r="P10" s="24"/>
    </row>
    <row r="11" spans="1:16" s="31" customFormat="1" ht="15">
      <c r="A11" s="26"/>
      <c r="B11" s="27"/>
      <c r="C11" s="60"/>
      <c r="D11" s="29"/>
      <c r="E11" s="60"/>
      <c r="F11" s="59"/>
      <c r="G11" s="28"/>
      <c r="H11" s="28"/>
      <c r="I11" s="26"/>
      <c r="J11" s="27"/>
      <c r="K11" s="94">
        <f t="shared" ref="K11:K35" si="0">+C11</f>
        <v>0</v>
      </c>
      <c r="L11" s="95">
        <f>+E11+D11</f>
        <v>0</v>
      </c>
      <c r="M11" s="61"/>
      <c r="N11" s="59"/>
      <c r="O11" s="30"/>
      <c r="P11" s="24"/>
    </row>
    <row r="12" spans="1:16" s="31" customFormat="1" ht="15">
      <c r="A12" s="26"/>
      <c r="B12" s="36"/>
      <c r="C12" s="60"/>
      <c r="D12" s="29"/>
      <c r="E12" s="60"/>
      <c r="F12" s="59"/>
      <c r="G12" s="28"/>
      <c r="H12" s="28"/>
      <c r="I12" s="26"/>
      <c r="J12" s="36"/>
      <c r="K12" s="94">
        <f t="shared" si="0"/>
        <v>0</v>
      </c>
      <c r="L12" s="95">
        <f t="shared" ref="L12:L35" si="1">+E12+D12</f>
        <v>0</v>
      </c>
      <c r="M12" s="60"/>
      <c r="N12" s="59"/>
      <c r="O12" s="30"/>
      <c r="P12" s="24"/>
    </row>
    <row r="13" spans="1:16" s="25" customFormat="1" ht="15">
      <c r="K13" s="94"/>
      <c r="L13" s="95"/>
      <c r="M13" s="69"/>
      <c r="N13" s="69"/>
      <c r="O13" s="70"/>
      <c r="P13" s="24"/>
    </row>
    <row r="14" spans="1:16" s="31" customFormat="1" ht="15">
      <c r="A14" s="26"/>
      <c r="B14" s="27"/>
      <c r="C14" s="60"/>
      <c r="D14" s="60"/>
      <c r="E14" s="60"/>
      <c r="F14" s="59"/>
      <c r="G14" s="32"/>
      <c r="H14" s="32"/>
      <c r="I14" s="33"/>
      <c r="J14" s="27"/>
      <c r="K14" s="94">
        <f t="shared" si="0"/>
        <v>0</v>
      </c>
      <c r="L14" s="95">
        <f t="shared" si="1"/>
        <v>0</v>
      </c>
      <c r="M14" s="59"/>
      <c r="N14" s="30"/>
      <c r="O14" s="30"/>
      <c r="P14" s="24"/>
    </row>
    <row r="15" spans="1:16" s="31" customFormat="1" ht="15">
      <c r="A15" s="34"/>
      <c r="B15" s="36"/>
      <c r="C15" s="60"/>
      <c r="D15" s="60"/>
      <c r="E15" s="62"/>
      <c r="F15" s="61"/>
      <c r="G15" s="32"/>
      <c r="H15" s="32"/>
      <c r="I15" s="35"/>
      <c r="J15" s="36"/>
      <c r="K15" s="94">
        <f t="shared" si="0"/>
        <v>0</v>
      </c>
      <c r="L15" s="95">
        <f t="shared" si="1"/>
        <v>0</v>
      </c>
      <c r="M15" s="30"/>
      <c r="N15" s="30"/>
      <c r="O15" s="30"/>
      <c r="P15" s="24"/>
    </row>
    <row r="16" spans="1:16" s="25" customFormat="1" ht="15">
      <c r="A16" s="34"/>
      <c r="B16" s="67"/>
      <c r="C16" s="68"/>
      <c r="D16" s="68"/>
      <c r="E16" s="68"/>
      <c r="F16" s="69"/>
      <c r="G16" s="70"/>
      <c r="H16" s="70"/>
      <c r="I16" s="34"/>
      <c r="J16" s="67"/>
      <c r="K16" s="94"/>
      <c r="L16" s="95"/>
      <c r="M16" s="69"/>
      <c r="N16" s="69"/>
      <c r="O16" s="70"/>
      <c r="P16" s="24"/>
    </row>
    <row r="17" spans="1:16" s="31" customFormat="1" ht="15">
      <c r="A17" s="38"/>
      <c r="B17" s="27"/>
      <c r="C17" s="29"/>
      <c r="D17" s="29"/>
      <c r="E17" s="61"/>
      <c r="F17" s="59"/>
      <c r="G17" s="32"/>
      <c r="H17" s="32"/>
      <c r="I17" s="39"/>
      <c r="J17" s="27"/>
      <c r="K17" s="94">
        <f t="shared" si="0"/>
        <v>0</v>
      </c>
      <c r="L17" s="95">
        <f t="shared" si="1"/>
        <v>0</v>
      </c>
      <c r="M17" s="29"/>
      <c r="N17" s="59"/>
      <c r="O17" s="30"/>
      <c r="P17" s="24"/>
    </row>
    <row r="18" spans="1:16" s="31" customFormat="1" ht="15">
      <c r="A18" s="38"/>
      <c r="B18" s="27"/>
      <c r="C18" s="60"/>
      <c r="D18" s="60"/>
      <c r="E18" s="62"/>
      <c r="F18" s="59"/>
      <c r="G18" s="32"/>
      <c r="H18" s="32"/>
      <c r="I18" s="39"/>
      <c r="J18" s="27"/>
      <c r="K18" s="94">
        <f t="shared" si="0"/>
        <v>0</v>
      </c>
      <c r="L18" s="95">
        <f t="shared" si="1"/>
        <v>0</v>
      </c>
      <c r="M18" s="30"/>
      <c r="N18" s="59"/>
      <c r="O18" s="30"/>
      <c r="P18" s="24"/>
    </row>
    <row r="19" spans="1:16" s="25" customFormat="1" ht="15">
      <c r="A19" s="34"/>
      <c r="B19" s="67"/>
      <c r="C19" s="68"/>
      <c r="D19" s="68"/>
      <c r="E19" s="68"/>
      <c r="F19" s="69"/>
      <c r="G19" s="70"/>
      <c r="H19" s="70"/>
      <c r="I19" s="34"/>
      <c r="J19" s="67"/>
      <c r="K19" s="94"/>
      <c r="L19" s="95"/>
      <c r="M19" s="69"/>
      <c r="N19" s="69"/>
      <c r="O19" s="70"/>
      <c r="P19" s="24"/>
    </row>
    <row r="20" spans="1:16" s="31" customFormat="1" ht="15">
      <c r="A20" s="38"/>
      <c r="B20" s="27"/>
      <c r="C20" s="60"/>
      <c r="D20" s="60"/>
      <c r="E20" s="62"/>
      <c r="F20" s="59"/>
      <c r="G20" s="32"/>
      <c r="H20" s="32"/>
      <c r="I20" s="39"/>
      <c r="J20" s="27"/>
      <c r="K20" s="94">
        <f t="shared" si="0"/>
        <v>0</v>
      </c>
      <c r="L20" s="95">
        <f t="shared" si="1"/>
        <v>0</v>
      </c>
      <c r="M20" s="30"/>
      <c r="N20" s="59"/>
      <c r="O20" s="30"/>
      <c r="P20" s="24"/>
    </row>
    <row r="21" spans="1:16" s="31" customFormat="1" ht="15">
      <c r="A21" s="38"/>
      <c r="B21" s="27"/>
      <c r="C21" s="60"/>
      <c r="D21" s="60"/>
      <c r="E21" s="62"/>
      <c r="F21" s="59"/>
      <c r="G21" s="32"/>
      <c r="H21" s="32"/>
      <c r="I21" s="39"/>
      <c r="J21" s="27"/>
      <c r="K21" s="94">
        <f t="shared" si="0"/>
        <v>0</v>
      </c>
      <c r="L21" s="95">
        <f t="shared" si="1"/>
        <v>0</v>
      </c>
      <c r="M21" s="30"/>
      <c r="N21" s="59"/>
      <c r="O21" s="30"/>
      <c r="P21" s="24"/>
    </row>
    <row r="22" spans="1:16" s="25" customFormat="1" ht="15">
      <c r="A22" s="34"/>
      <c r="B22" s="67"/>
      <c r="C22" s="68"/>
      <c r="D22" s="68"/>
      <c r="E22" s="68"/>
      <c r="F22" s="69"/>
      <c r="G22" s="70"/>
      <c r="H22" s="70"/>
      <c r="I22" s="34"/>
      <c r="J22" s="67"/>
      <c r="K22" s="94"/>
      <c r="L22" s="95"/>
      <c r="M22" s="69"/>
      <c r="N22" s="69"/>
      <c r="O22" s="70"/>
      <c r="P22" s="24"/>
    </row>
    <row r="23" spans="1:16" s="31" customFormat="1" ht="15">
      <c r="A23" s="34" t="s">
        <v>25</v>
      </c>
      <c r="B23" s="67" t="s">
        <v>98</v>
      </c>
      <c r="C23" s="68"/>
      <c r="D23" s="68"/>
      <c r="E23" s="68"/>
      <c r="F23" s="69"/>
      <c r="G23" s="70"/>
      <c r="H23" s="70"/>
      <c r="I23" s="34" t="s">
        <v>25</v>
      </c>
      <c r="J23" s="67" t="s">
        <v>98</v>
      </c>
      <c r="K23" s="94"/>
      <c r="L23" s="95"/>
      <c r="M23" s="30"/>
      <c r="N23" s="59"/>
      <c r="O23" s="30"/>
      <c r="P23" s="24"/>
    </row>
    <row r="24" spans="1:16" s="31" customFormat="1" ht="15">
      <c r="A24" s="38"/>
      <c r="B24" s="27"/>
      <c r="C24" s="60"/>
      <c r="D24" s="60"/>
      <c r="E24" s="62"/>
      <c r="F24" s="59"/>
      <c r="G24" s="32"/>
      <c r="H24" s="32"/>
      <c r="I24" s="39"/>
      <c r="J24" s="27"/>
      <c r="K24" s="94">
        <f t="shared" si="0"/>
        <v>0</v>
      </c>
      <c r="L24" s="95">
        <f t="shared" si="1"/>
        <v>0</v>
      </c>
      <c r="M24" s="30"/>
      <c r="N24" s="59"/>
      <c r="O24" s="30"/>
      <c r="P24" s="24"/>
    </row>
    <row r="25" spans="1:16" s="25" customFormat="1" ht="15">
      <c r="A25" s="34"/>
      <c r="B25" s="67"/>
      <c r="C25" s="68"/>
      <c r="D25" s="68"/>
      <c r="E25" s="68"/>
      <c r="F25" s="69"/>
      <c r="G25" s="70"/>
      <c r="H25" s="70"/>
      <c r="I25" s="34"/>
      <c r="J25" s="67"/>
      <c r="K25" s="94"/>
      <c r="L25" s="95"/>
      <c r="M25" s="69"/>
      <c r="N25" s="69"/>
      <c r="O25" s="70"/>
      <c r="P25" s="24"/>
    </row>
    <row r="26" spans="1:16" s="31" customFormat="1" ht="15">
      <c r="A26" s="38"/>
      <c r="B26" s="27"/>
      <c r="C26" s="60"/>
      <c r="D26" s="60"/>
      <c r="E26" s="62"/>
      <c r="F26" s="59"/>
      <c r="G26" s="32"/>
      <c r="H26" s="32"/>
      <c r="I26" s="39"/>
      <c r="J26" s="27"/>
      <c r="K26" s="94">
        <f t="shared" si="0"/>
        <v>0</v>
      </c>
      <c r="L26" s="95">
        <f t="shared" si="1"/>
        <v>0</v>
      </c>
      <c r="M26" s="30"/>
      <c r="N26" s="59"/>
      <c r="O26" s="30"/>
      <c r="P26" s="24"/>
    </row>
    <row r="27" spans="1:16" s="31" customFormat="1" ht="15">
      <c r="A27" s="38"/>
      <c r="B27" s="27"/>
      <c r="C27" s="60"/>
      <c r="D27" s="60"/>
      <c r="E27" s="62"/>
      <c r="F27" s="59"/>
      <c r="G27" s="32"/>
      <c r="H27" s="32"/>
      <c r="I27" s="39"/>
      <c r="J27" s="27"/>
      <c r="K27" s="94">
        <f t="shared" si="0"/>
        <v>0</v>
      </c>
      <c r="L27" s="95">
        <f t="shared" si="1"/>
        <v>0</v>
      </c>
      <c r="M27" s="30"/>
      <c r="N27" s="59"/>
      <c r="O27" s="30"/>
      <c r="P27" s="24"/>
    </row>
    <row r="28" spans="1:16" s="25" customFormat="1" ht="15">
      <c r="A28" s="34"/>
      <c r="B28" s="67"/>
      <c r="C28" s="68"/>
      <c r="D28" s="68"/>
      <c r="E28" s="68"/>
      <c r="F28" s="69"/>
      <c r="G28" s="70"/>
      <c r="H28" s="70"/>
      <c r="I28" s="34"/>
      <c r="J28" s="67"/>
      <c r="K28" s="94"/>
      <c r="L28" s="95"/>
      <c r="M28" s="69"/>
      <c r="N28" s="69"/>
      <c r="O28" s="70"/>
      <c r="P28" s="24"/>
    </row>
    <row r="29" spans="1:16" s="31" customFormat="1" ht="15">
      <c r="A29" s="38"/>
      <c r="B29" s="27"/>
      <c r="C29" s="60"/>
      <c r="D29" s="60"/>
      <c r="E29" s="62"/>
      <c r="F29" s="59"/>
      <c r="G29" s="32"/>
      <c r="H29" s="32"/>
      <c r="I29" s="39"/>
      <c r="J29" s="27"/>
      <c r="K29" s="94">
        <f t="shared" si="0"/>
        <v>0</v>
      </c>
      <c r="L29" s="95">
        <f t="shared" si="1"/>
        <v>0</v>
      </c>
      <c r="M29" s="30"/>
      <c r="N29" s="59"/>
      <c r="O29" s="30"/>
      <c r="P29" s="24"/>
    </row>
    <row r="30" spans="1:16" s="31" customFormat="1" ht="15">
      <c r="A30" s="38"/>
      <c r="B30" s="27"/>
      <c r="C30" s="60"/>
      <c r="D30" s="60"/>
      <c r="E30" s="62"/>
      <c r="F30" s="59"/>
      <c r="G30" s="32"/>
      <c r="H30" s="32"/>
      <c r="I30" s="39"/>
      <c r="J30" s="27"/>
      <c r="K30" s="94">
        <f t="shared" si="0"/>
        <v>0</v>
      </c>
      <c r="L30" s="95">
        <f t="shared" si="1"/>
        <v>0</v>
      </c>
      <c r="M30" s="30"/>
      <c r="N30" s="59"/>
      <c r="O30" s="30"/>
      <c r="P30" s="24"/>
    </row>
    <row r="31" spans="1:16" s="31" customFormat="1" ht="15">
      <c r="A31" s="38"/>
      <c r="B31" s="27"/>
      <c r="C31" s="60"/>
      <c r="D31" s="60"/>
      <c r="E31" s="62"/>
      <c r="F31" s="59"/>
      <c r="G31" s="32"/>
      <c r="H31" s="32"/>
      <c r="I31" s="39"/>
      <c r="J31" s="27"/>
      <c r="K31" s="94">
        <f t="shared" si="0"/>
        <v>0</v>
      </c>
      <c r="L31" s="95">
        <f t="shared" si="1"/>
        <v>0</v>
      </c>
      <c r="M31" s="30"/>
      <c r="N31" s="59"/>
      <c r="O31" s="30"/>
      <c r="P31" s="24"/>
    </row>
    <row r="32" spans="1:16" s="25" customFormat="1" ht="28.5">
      <c r="A32" s="34" t="s">
        <v>55</v>
      </c>
      <c r="B32" s="67" t="s">
        <v>48</v>
      </c>
      <c r="C32" s="68"/>
      <c r="D32" s="68"/>
      <c r="E32" s="68"/>
      <c r="F32" s="69"/>
      <c r="G32" s="70"/>
      <c r="H32" s="70"/>
      <c r="I32" s="34" t="s">
        <v>55</v>
      </c>
      <c r="J32" s="67" t="s">
        <v>48</v>
      </c>
      <c r="K32" s="94"/>
      <c r="L32" s="95"/>
      <c r="M32" s="69"/>
      <c r="N32" s="69"/>
      <c r="O32" s="70"/>
      <c r="P32" s="24"/>
    </row>
    <row r="33" spans="1:16" s="31" customFormat="1" ht="15">
      <c r="A33" s="37">
        <v>1</v>
      </c>
      <c r="B33" s="27" t="s">
        <v>56</v>
      </c>
      <c r="C33" s="60"/>
      <c r="D33" s="60"/>
      <c r="E33" s="62"/>
      <c r="F33" s="59"/>
      <c r="G33" s="32"/>
      <c r="H33" s="32"/>
      <c r="I33" s="39">
        <v>1</v>
      </c>
      <c r="J33" s="27" t="s">
        <v>56</v>
      </c>
      <c r="K33" s="94">
        <f t="shared" si="0"/>
        <v>0</v>
      </c>
      <c r="L33" s="95">
        <f t="shared" si="1"/>
        <v>0</v>
      </c>
      <c r="M33" s="30"/>
      <c r="N33" s="59"/>
      <c r="O33" s="30"/>
      <c r="P33" s="24"/>
    </row>
    <row r="34" spans="1:16" s="31" customFormat="1" ht="15">
      <c r="A34" s="37">
        <v>2</v>
      </c>
      <c r="B34" s="27" t="s">
        <v>57</v>
      </c>
      <c r="C34" s="60"/>
      <c r="D34" s="60"/>
      <c r="E34" s="62"/>
      <c r="F34" s="59"/>
      <c r="G34" s="32"/>
      <c r="H34" s="32"/>
      <c r="I34" s="39">
        <v>2</v>
      </c>
      <c r="J34" s="27" t="s">
        <v>57</v>
      </c>
      <c r="K34" s="94">
        <f t="shared" si="0"/>
        <v>0</v>
      </c>
      <c r="L34" s="95">
        <f t="shared" si="1"/>
        <v>0</v>
      </c>
      <c r="M34" s="30"/>
      <c r="N34" s="59"/>
      <c r="O34" s="30"/>
      <c r="P34" s="24"/>
    </row>
    <row r="35" spans="1:16" s="31" customFormat="1" ht="15">
      <c r="A35" s="37">
        <v>3</v>
      </c>
      <c r="B35" s="27" t="s">
        <v>58</v>
      </c>
      <c r="C35" s="60"/>
      <c r="D35" s="60"/>
      <c r="E35" s="62"/>
      <c r="F35" s="59"/>
      <c r="G35" s="32"/>
      <c r="H35" s="32"/>
      <c r="I35" s="39">
        <v>3</v>
      </c>
      <c r="J35" s="27" t="s">
        <v>58</v>
      </c>
      <c r="K35" s="94">
        <f t="shared" si="0"/>
        <v>0</v>
      </c>
      <c r="L35" s="95">
        <f t="shared" si="1"/>
        <v>0</v>
      </c>
      <c r="M35" s="30"/>
      <c r="N35" s="59"/>
      <c r="O35" s="30"/>
      <c r="P35" s="24"/>
    </row>
    <row r="36" spans="1:16" s="31" customFormat="1" ht="15">
      <c r="A36" s="37"/>
      <c r="B36" s="27"/>
      <c r="C36" s="60"/>
      <c r="D36" s="60"/>
      <c r="E36" s="62"/>
      <c r="F36" s="59"/>
      <c r="G36" s="32"/>
      <c r="H36" s="32"/>
      <c r="I36" s="39"/>
      <c r="J36" s="27"/>
      <c r="K36" s="85"/>
      <c r="L36" s="96"/>
      <c r="M36" s="30"/>
      <c r="N36" s="59"/>
      <c r="O36" s="30"/>
      <c r="P36" s="24"/>
    </row>
    <row r="37" spans="1:16" s="31" customFormat="1" ht="15">
      <c r="A37" s="38"/>
      <c r="B37" s="27"/>
      <c r="C37" s="60"/>
      <c r="D37" s="60"/>
      <c r="E37" s="62"/>
      <c r="F37" s="59"/>
      <c r="G37" s="32"/>
      <c r="H37" s="32"/>
      <c r="I37" s="39"/>
      <c r="J37" s="27"/>
      <c r="K37" s="85"/>
      <c r="L37" s="96"/>
      <c r="M37" s="30"/>
      <c r="N37" s="59"/>
      <c r="O37" s="30"/>
      <c r="P37" s="24"/>
    </row>
    <row r="38" spans="1:16" s="31" customFormat="1" ht="15">
      <c r="A38" s="71"/>
      <c r="B38" s="72"/>
      <c r="C38" s="73"/>
      <c r="D38" s="73"/>
      <c r="E38" s="74"/>
      <c r="F38" s="75"/>
      <c r="G38" s="75"/>
      <c r="H38" s="75"/>
      <c r="I38" s="76"/>
      <c r="J38" s="72"/>
      <c r="K38" s="86"/>
      <c r="L38" s="97"/>
      <c r="M38" s="77"/>
      <c r="N38" s="77"/>
      <c r="O38" s="77"/>
      <c r="P38" s="24"/>
    </row>
    <row r="39" spans="1:16" ht="15">
      <c r="A39" s="40"/>
      <c r="B39" s="41" t="s">
        <v>26</v>
      </c>
      <c r="C39" s="42"/>
      <c r="D39" s="42"/>
      <c r="E39" s="43">
        <f>SUM(E10:E38)</f>
        <v>0</v>
      </c>
      <c r="F39" s="42"/>
      <c r="G39" s="41"/>
      <c r="H39" s="41"/>
      <c r="I39" s="40"/>
      <c r="J39" s="41" t="s">
        <v>26</v>
      </c>
      <c r="K39" s="87"/>
      <c r="L39" s="87"/>
      <c r="M39" s="43">
        <f>SUM(M13:M38)</f>
        <v>0</v>
      </c>
      <c r="N39" s="42"/>
      <c r="O39" s="40"/>
      <c r="P39" s="24"/>
    </row>
    <row r="40" spans="1:16" s="31" customFormat="1" ht="15">
      <c r="A40" s="40"/>
      <c r="B40" s="41" t="s">
        <v>27</v>
      </c>
      <c r="C40" s="42"/>
      <c r="D40" s="42"/>
      <c r="E40" s="43">
        <v>44</v>
      </c>
      <c r="F40" s="42"/>
      <c r="G40" s="41"/>
      <c r="H40" s="41"/>
      <c r="I40" s="40"/>
      <c r="J40" s="41" t="s">
        <v>27</v>
      </c>
      <c r="K40" s="87"/>
      <c r="L40" s="87"/>
      <c r="M40" s="43">
        <v>44</v>
      </c>
      <c r="N40" s="42"/>
      <c r="O40" s="40"/>
      <c r="P40" s="24"/>
    </row>
    <row r="41" spans="1:16" s="31" customFormat="1" ht="15">
      <c r="A41" s="40"/>
      <c r="B41" s="41" t="s">
        <v>28</v>
      </c>
      <c r="C41" s="42"/>
      <c r="D41" s="42"/>
      <c r="E41" s="44">
        <f>E39/E40</f>
        <v>0</v>
      </c>
      <c r="F41" s="42"/>
      <c r="G41" s="41"/>
      <c r="H41" s="41"/>
      <c r="I41" s="40"/>
      <c r="J41" s="41" t="s">
        <v>28</v>
      </c>
      <c r="K41" s="87"/>
      <c r="L41" s="87"/>
      <c r="M41" s="44">
        <f>M39/M40</f>
        <v>0</v>
      </c>
      <c r="N41" s="42"/>
      <c r="O41" s="40"/>
      <c r="P41" s="24"/>
    </row>
    <row r="42" spans="1:16" ht="15" hidden="1">
      <c r="A42" s="4">
        <v>1</v>
      </c>
      <c r="B42" s="10">
        <f t="shared" ref="B42:F42" si="2">+A42+1</f>
        <v>2</v>
      </c>
      <c r="C42" s="10">
        <f t="shared" si="2"/>
        <v>3</v>
      </c>
      <c r="D42" s="10">
        <f t="shared" si="2"/>
        <v>4</v>
      </c>
      <c r="E42" s="10">
        <f t="shared" si="2"/>
        <v>5</v>
      </c>
      <c r="F42" s="10">
        <f t="shared" si="2"/>
        <v>6</v>
      </c>
      <c r="G42" s="10"/>
      <c r="H42" s="10"/>
      <c r="I42" s="10" t="e">
        <f>+#REF!+1</f>
        <v>#REF!</v>
      </c>
      <c r="J42" s="10" t="e">
        <f t="shared" ref="J42:O42" si="3">+I42+1</f>
        <v>#REF!</v>
      </c>
      <c r="K42" s="88" t="e">
        <f t="shared" si="3"/>
        <v>#REF!</v>
      </c>
      <c r="L42" s="88" t="e">
        <f>+#REF!+1</f>
        <v>#REF!</v>
      </c>
      <c r="M42" s="10" t="e">
        <f t="shared" si="3"/>
        <v>#REF!</v>
      </c>
      <c r="N42" s="10" t="e">
        <f t="shared" si="3"/>
        <v>#REF!</v>
      </c>
      <c r="O42" s="10" t="e">
        <f t="shared" si="3"/>
        <v>#REF!</v>
      </c>
      <c r="P42" s="45"/>
    </row>
    <row r="43" spans="1:16" ht="8.25" customHeight="1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88"/>
      <c r="L43" s="88"/>
      <c r="M43" s="10"/>
      <c r="N43" s="10"/>
      <c r="O43" s="10"/>
      <c r="P43" s="45"/>
    </row>
    <row r="44" spans="1:16" s="46" customFormat="1" ht="15.75" customHeight="1">
      <c r="B44" s="47"/>
      <c r="C44" s="47"/>
      <c r="D44" s="47"/>
      <c r="E44" s="47"/>
      <c r="F44" s="47"/>
      <c r="G44" s="47"/>
      <c r="H44" s="47"/>
      <c r="I44" s="47"/>
      <c r="J44" s="47"/>
      <c r="K44" s="89" t="s">
        <v>29</v>
      </c>
      <c r="L44" s="98"/>
      <c r="M44" s="47"/>
      <c r="N44" s="47"/>
      <c r="O44" s="47"/>
      <c r="P44" s="47"/>
    </row>
    <row r="45" spans="1:16" s="45" customFormat="1" ht="14.25">
      <c r="A45" s="10"/>
      <c r="C45" s="48"/>
      <c r="D45" s="48"/>
      <c r="E45" s="48" t="s">
        <v>30</v>
      </c>
      <c r="F45" s="10"/>
      <c r="G45" s="10"/>
      <c r="H45" s="10"/>
      <c r="I45" s="10"/>
      <c r="J45" s="10"/>
      <c r="K45" s="90" t="s">
        <v>31</v>
      </c>
      <c r="L45" s="88"/>
      <c r="M45" s="10"/>
      <c r="N45" s="10"/>
      <c r="O45" s="10"/>
    </row>
    <row r="46" spans="1:16" s="45" customFormat="1" ht="13.5" customHeight="1">
      <c r="A46" s="10"/>
      <c r="B46" s="48"/>
      <c r="C46" s="48"/>
      <c r="D46" s="48"/>
      <c r="E46" s="48"/>
      <c r="F46" s="10"/>
      <c r="G46" s="10"/>
      <c r="H46" s="10"/>
      <c r="I46" s="10"/>
      <c r="J46" s="10"/>
      <c r="K46" s="90"/>
      <c r="L46" s="88"/>
      <c r="M46" s="10"/>
      <c r="N46" s="10"/>
      <c r="O46" s="10"/>
    </row>
    <row r="47" spans="1:16" s="49" customFormat="1" ht="15.75">
      <c r="B47" s="50" t="s">
        <v>32</v>
      </c>
      <c r="C47" s="51"/>
      <c r="D47" s="51"/>
      <c r="K47" s="91"/>
      <c r="L47" s="99"/>
    </row>
    <row r="48" spans="1:16" s="10" customFormat="1" ht="14.25">
      <c r="B48" s="52" t="s">
        <v>33</v>
      </c>
      <c r="C48" s="53"/>
      <c r="D48" s="53"/>
      <c r="K48" s="90"/>
      <c r="L48" s="88"/>
    </row>
    <row r="49" spans="2:15">
      <c r="B49" s="54" t="s">
        <v>34</v>
      </c>
      <c r="C49" s="55"/>
      <c r="D49" s="55"/>
      <c r="K49" s="92"/>
    </row>
    <row r="50" spans="2:15">
      <c r="B50" s="54" t="s">
        <v>35</v>
      </c>
      <c r="C50" s="55"/>
      <c r="D50" s="55"/>
      <c r="K50" s="92"/>
    </row>
    <row r="51" spans="2:15">
      <c r="B51" s="54" t="s">
        <v>36</v>
      </c>
      <c r="C51" s="55"/>
      <c r="D51" s="55"/>
      <c r="K51" s="92"/>
    </row>
    <row r="52" spans="2:15">
      <c r="B52" s="54" t="s">
        <v>37</v>
      </c>
      <c r="C52" s="55"/>
      <c r="D52" s="55"/>
      <c r="K52" s="92"/>
    </row>
    <row r="53" spans="2:15">
      <c r="B53" s="54" t="s">
        <v>38</v>
      </c>
      <c r="C53" s="55"/>
      <c r="D53" s="55"/>
      <c r="K53" s="92"/>
    </row>
    <row r="54" spans="2:15">
      <c r="B54" s="54" t="str">
        <f>'[1]KHTuan BDH'!A31</f>
        <v>+ Fonts chữ sử dụng cho phần nội dung: Times New Roman (Cỡ chữ 10~12).</v>
      </c>
      <c r="C54" s="55"/>
      <c r="D54" s="55"/>
      <c r="K54" s="92"/>
    </row>
    <row r="55" spans="2:15">
      <c r="B55" s="56" t="s">
        <v>39</v>
      </c>
      <c r="C55" s="56"/>
      <c r="D55" s="56"/>
      <c r="E55" s="56"/>
      <c r="F55" s="56"/>
      <c r="G55" s="56"/>
      <c r="H55" s="56"/>
      <c r="I55" s="56"/>
      <c r="J55" s="56"/>
      <c r="K55" s="93"/>
      <c r="L55" s="93"/>
      <c r="M55" s="56"/>
      <c r="N55" s="56"/>
      <c r="O55" s="57"/>
    </row>
    <row r="56" spans="2:15">
      <c r="B56" s="281" t="s">
        <v>40</v>
      </c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57"/>
    </row>
    <row r="57" spans="2:15" hidden="1">
      <c r="B57" s="281" t="s">
        <v>41</v>
      </c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57"/>
    </row>
    <row r="58" spans="2:15" hidden="1">
      <c r="B58" s="281" t="s">
        <v>42</v>
      </c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57"/>
    </row>
    <row r="59" spans="2:15">
      <c r="B59" s="56" t="s">
        <v>43</v>
      </c>
    </row>
    <row r="60" spans="2:15">
      <c r="B60" s="56" t="s">
        <v>44</v>
      </c>
    </row>
    <row r="61" spans="2:15">
      <c r="B61" s="56" t="s">
        <v>45</v>
      </c>
    </row>
    <row r="62" spans="2:15">
      <c r="B62" s="56" t="s">
        <v>46</v>
      </c>
    </row>
    <row r="63" spans="2:15">
      <c r="B63" s="56" t="s">
        <v>61</v>
      </c>
    </row>
    <row r="64" spans="2:15">
      <c r="B64" s="56" t="s">
        <v>62</v>
      </c>
    </row>
    <row r="65" spans="2:13">
      <c r="B65" s="56" t="s">
        <v>63</v>
      </c>
    </row>
    <row r="66" spans="2:13">
      <c r="B66" s="56" t="s">
        <v>64</v>
      </c>
    </row>
    <row r="67" spans="2:13">
      <c r="B67" s="56" t="s">
        <v>65</v>
      </c>
    </row>
    <row r="68" spans="2:13">
      <c r="B68" s="56"/>
    </row>
    <row r="79" spans="2:13">
      <c r="J79" s="58"/>
      <c r="M79" s="55"/>
    </row>
  </sheetData>
  <mergeCells count="14">
    <mergeCell ref="O7:O8"/>
    <mergeCell ref="B56:N56"/>
    <mergeCell ref="B57:N57"/>
    <mergeCell ref="B58:N58"/>
    <mergeCell ref="A6:H6"/>
    <mergeCell ref="I6:O6"/>
    <mergeCell ref="A7:A8"/>
    <mergeCell ref="B7:B8"/>
    <mergeCell ref="C7:F7"/>
    <mergeCell ref="G7:G8"/>
    <mergeCell ref="H7:H8"/>
    <mergeCell ref="I7:I8"/>
    <mergeCell ref="J7:J8"/>
    <mergeCell ref="K7:N7"/>
  </mergeCells>
  <printOptions horizontalCentered="1"/>
  <pageMargins left="0.23" right="0" top="0.18" bottom="0.17" header="0.23" footer="0.17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"/>
  <sheetViews>
    <sheetView tabSelected="1" view="pageBreakPreview" topLeftCell="A17" zoomScale="85" zoomScaleNormal="85" zoomScaleSheetLayoutView="85" workbookViewId="0">
      <selection activeCell="O24" sqref="O24"/>
    </sheetView>
  </sheetViews>
  <sheetFormatPr defaultRowHeight="12.75"/>
  <cols>
    <col min="1" max="1" width="4.7109375" style="102" customWidth="1"/>
    <col min="2" max="2" width="33.42578125" style="1" customWidth="1"/>
    <col min="3" max="3" width="11.140625" style="202" customWidth="1"/>
    <col min="4" max="4" width="9.5703125" style="102" customWidth="1"/>
    <col min="5" max="5" width="5" style="212" customWidth="1"/>
    <col min="6" max="6" width="10" style="102" customWidth="1"/>
    <col min="7" max="7" width="11.85546875" style="109" customWidth="1"/>
    <col min="8" max="9" width="9.28515625" style="102" customWidth="1"/>
    <col min="10" max="10" width="5.7109375" style="1" customWidth="1"/>
    <col min="11" max="11" width="41.5703125" style="1" customWidth="1"/>
    <col min="12" max="12" width="11.28515625" style="235" customWidth="1"/>
    <col min="13" max="13" width="7.42578125" style="58" customWidth="1"/>
    <col min="14" max="14" width="6.7109375" style="58" customWidth="1"/>
    <col min="15" max="15" width="9.28515625" style="181" customWidth="1"/>
    <col min="16" max="16" width="12.140625" style="202" customWidth="1"/>
    <col min="17" max="17" width="7.28515625" style="1" customWidth="1"/>
    <col min="18" max="18" width="6.42578125" style="1" customWidth="1"/>
    <col min="19" max="256" width="9.140625" style="1"/>
    <col min="257" max="257" width="3.5703125" style="1" customWidth="1"/>
    <col min="258" max="258" width="33.42578125" style="1" customWidth="1"/>
    <col min="259" max="259" width="5.42578125" style="1" customWidth="1"/>
    <col min="260" max="260" width="5.7109375" style="1" customWidth="1"/>
    <col min="261" max="261" width="6.140625" style="1" customWidth="1"/>
    <col min="262" max="262" width="6.5703125" style="1" customWidth="1"/>
    <col min="263" max="264" width="0" style="1" hidden="1" customWidth="1"/>
    <col min="265" max="265" width="6.5703125" style="1" customWidth="1"/>
    <col min="266" max="266" width="3.85546875" style="1" customWidth="1"/>
    <col min="267" max="267" width="47.140625" style="1" customWidth="1"/>
    <col min="268" max="268" width="6.28515625" style="1" customWidth="1"/>
    <col min="269" max="269" width="0" style="1" hidden="1" customWidth="1"/>
    <col min="270" max="270" width="6.7109375" style="1" customWidth="1"/>
    <col min="271" max="271" width="9.28515625" style="1" customWidth="1"/>
    <col min="272" max="272" width="7.7109375" style="1" customWidth="1"/>
    <col min="273" max="273" width="7.28515625" style="1" customWidth="1"/>
    <col min="274" max="274" width="6.42578125" style="1" customWidth="1"/>
    <col min="275" max="512" width="9.140625" style="1"/>
    <col min="513" max="513" width="3.5703125" style="1" customWidth="1"/>
    <col min="514" max="514" width="33.42578125" style="1" customWidth="1"/>
    <col min="515" max="515" width="5.42578125" style="1" customWidth="1"/>
    <col min="516" max="516" width="5.7109375" style="1" customWidth="1"/>
    <col min="517" max="517" width="6.140625" style="1" customWidth="1"/>
    <col min="518" max="518" width="6.5703125" style="1" customWidth="1"/>
    <col min="519" max="520" width="0" style="1" hidden="1" customWidth="1"/>
    <col min="521" max="521" width="6.5703125" style="1" customWidth="1"/>
    <col min="522" max="522" width="3.85546875" style="1" customWidth="1"/>
    <col min="523" max="523" width="47.140625" style="1" customWidth="1"/>
    <col min="524" max="524" width="6.28515625" style="1" customWidth="1"/>
    <col min="525" max="525" width="0" style="1" hidden="1" customWidth="1"/>
    <col min="526" max="526" width="6.7109375" style="1" customWidth="1"/>
    <col min="527" max="527" width="9.28515625" style="1" customWidth="1"/>
    <col min="528" max="528" width="7.7109375" style="1" customWidth="1"/>
    <col min="529" max="529" width="7.28515625" style="1" customWidth="1"/>
    <col min="530" max="530" width="6.42578125" style="1" customWidth="1"/>
    <col min="531" max="768" width="9.140625" style="1"/>
    <col min="769" max="769" width="3.5703125" style="1" customWidth="1"/>
    <col min="770" max="770" width="33.42578125" style="1" customWidth="1"/>
    <col min="771" max="771" width="5.42578125" style="1" customWidth="1"/>
    <col min="772" max="772" width="5.7109375" style="1" customWidth="1"/>
    <col min="773" max="773" width="6.140625" style="1" customWidth="1"/>
    <col min="774" max="774" width="6.5703125" style="1" customWidth="1"/>
    <col min="775" max="776" width="0" style="1" hidden="1" customWidth="1"/>
    <col min="777" max="777" width="6.5703125" style="1" customWidth="1"/>
    <col min="778" max="778" width="3.85546875" style="1" customWidth="1"/>
    <col min="779" max="779" width="47.140625" style="1" customWidth="1"/>
    <col min="780" max="780" width="6.28515625" style="1" customWidth="1"/>
    <col min="781" max="781" width="0" style="1" hidden="1" customWidth="1"/>
    <col min="782" max="782" width="6.7109375" style="1" customWidth="1"/>
    <col min="783" max="783" width="9.28515625" style="1" customWidth="1"/>
    <col min="784" max="784" width="7.7109375" style="1" customWidth="1"/>
    <col min="785" max="785" width="7.28515625" style="1" customWidth="1"/>
    <col min="786" max="786" width="6.42578125" style="1" customWidth="1"/>
    <col min="787" max="1024" width="9.140625" style="1"/>
    <col min="1025" max="1025" width="3.5703125" style="1" customWidth="1"/>
    <col min="1026" max="1026" width="33.42578125" style="1" customWidth="1"/>
    <col min="1027" max="1027" width="5.42578125" style="1" customWidth="1"/>
    <col min="1028" max="1028" width="5.7109375" style="1" customWidth="1"/>
    <col min="1029" max="1029" width="6.140625" style="1" customWidth="1"/>
    <col min="1030" max="1030" width="6.5703125" style="1" customWidth="1"/>
    <col min="1031" max="1032" width="0" style="1" hidden="1" customWidth="1"/>
    <col min="1033" max="1033" width="6.5703125" style="1" customWidth="1"/>
    <col min="1034" max="1034" width="3.85546875" style="1" customWidth="1"/>
    <col min="1035" max="1035" width="47.140625" style="1" customWidth="1"/>
    <col min="1036" max="1036" width="6.28515625" style="1" customWidth="1"/>
    <col min="1037" max="1037" width="0" style="1" hidden="1" customWidth="1"/>
    <col min="1038" max="1038" width="6.7109375" style="1" customWidth="1"/>
    <col min="1039" max="1039" width="9.28515625" style="1" customWidth="1"/>
    <col min="1040" max="1040" width="7.7109375" style="1" customWidth="1"/>
    <col min="1041" max="1041" width="7.28515625" style="1" customWidth="1"/>
    <col min="1042" max="1042" width="6.42578125" style="1" customWidth="1"/>
    <col min="1043" max="1280" width="9.140625" style="1"/>
    <col min="1281" max="1281" width="3.5703125" style="1" customWidth="1"/>
    <col min="1282" max="1282" width="33.42578125" style="1" customWidth="1"/>
    <col min="1283" max="1283" width="5.42578125" style="1" customWidth="1"/>
    <col min="1284" max="1284" width="5.7109375" style="1" customWidth="1"/>
    <col min="1285" max="1285" width="6.140625" style="1" customWidth="1"/>
    <col min="1286" max="1286" width="6.5703125" style="1" customWidth="1"/>
    <col min="1287" max="1288" width="0" style="1" hidden="1" customWidth="1"/>
    <col min="1289" max="1289" width="6.5703125" style="1" customWidth="1"/>
    <col min="1290" max="1290" width="3.85546875" style="1" customWidth="1"/>
    <col min="1291" max="1291" width="47.140625" style="1" customWidth="1"/>
    <col min="1292" max="1292" width="6.28515625" style="1" customWidth="1"/>
    <col min="1293" max="1293" width="0" style="1" hidden="1" customWidth="1"/>
    <col min="1294" max="1294" width="6.7109375" style="1" customWidth="1"/>
    <col min="1295" max="1295" width="9.28515625" style="1" customWidth="1"/>
    <col min="1296" max="1296" width="7.7109375" style="1" customWidth="1"/>
    <col min="1297" max="1297" width="7.28515625" style="1" customWidth="1"/>
    <col min="1298" max="1298" width="6.42578125" style="1" customWidth="1"/>
    <col min="1299" max="1536" width="9.140625" style="1"/>
    <col min="1537" max="1537" width="3.5703125" style="1" customWidth="1"/>
    <col min="1538" max="1538" width="33.42578125" style="1" customWidth="1"/>
    <col min="1539" max="1539" width="5.42578125" style="1" customWidth="1"/>
    <col min="1540" max="1540" width="5.7109375" style="1" customWidth="1"/>
    <col min="1541" max="1541" width="6.140625" style="1" customWidth="1"/>
    <col min="1542" max="1542" width="6.5703125" style="1" customWidth="1"/>
    <col min="1543" max="1544" width="0" style="1" hidden="1" customWidth="1"/>
    <col min="1545" max="1545" width="6.5703125" style="1" customWidth="1"/>
    <col min="1546" max="1546" width="3.85546875" style="1" customWidth="1"/>
    <col min="1547" max="1547" width="47.140625" style="1" customWidth="1"/>
    <col min="1548" max="1548" width="6.28515625" style="1" customWidth="1"/>
    <col min="1549" max="1549" width="0" style="1" hidden="1" customWidth="1"/>
    <col min="1550" max="1550" width="6.7109375" style="1" customWidth="1"/>
    <col min="1551" max="1551" width="9.28515625" style="1" customWidth="1"/>
    <col min="1552" max="1552" width="7.7109375" style="1" customWidth="1"/>
    <col min="1553" max="1553" width="7.28515625" style="1" customWidth="1"/>
    <col min="1554" max="1554" width="6.42578125" style="1" customWidth="1"/>
    <col min="1555" max="1792" width="9.140625" style="1"/>
    <col min="1793" max="1793" width="3.5703125" style="1" customWidth="1"/>
    <col min="1794" max="1794" width="33.42578125" style="1" customWidth="1"/>
    <col min="1795" max="1795" width="5.42578125" style="1" customWidth="1"/>
    <col min="1796" max="1796" width="5.7109375" style="1" customWidth="1"/>
    <col min="1797" max="1797" width="6.140625" style="1" customWidth="1"/>
    <col min="1798" max="1798" width="6.5703125" style="1" customWidth="1"/>
    <col min="1799" max="1800" width="0" style="1" hidden="1" customWidth="1"/>
    <col min="1801" max="1801" width="6.5703125" style="1" customWidth="1"/>
    <col min="1802" max="1802" width="3.85546875" style="1" customWidth="1"/>
    <col min="1803" max="1803" width="47.140625" style="1" customWidth="1"/>
    <col min="1804" max="1804" width="6.28515625" style="1" customWidth="1"/>
    <col min="1805" max="1805" width="0" style="1" hidden="1" customWidth="1"/>
    <col min="1806" max="1806" width="6.7109375" style="1" customWidth="1"/>
    <col min="1807" max="1807" width="9.28515625" style="1" customWidth="1"/>
    <col min="1808" max="1808" width="7.7109375" style="1" customWidth="1"/>
    <col min="1809" max="1809" width="7.28515625" style="1" customWidth="1"/>
    <col min="1810" max="1810" width="6.42578125" style="1" customWidth="1"/>
    <col min="1811" max="2048" width="9.140625" style="1"/>
    <col min="2049" max="2049" width="3.5703125" style="1" customWidth="1"/>
    <col min="2050" max="2050" width="33.42578125" style="1" customWidth="1"/>
    <col min="2051" max="2051" width="5.42578125" style="1" customWidth="1"/>
    <col min="2052" max="2052" width="5.7109375" style="1" customWidth="1"/>
    <col min="2053" max="2053" width="6.140625" style="1" customWidth="1"/>
    <col min="2054" max="2054" width="6.5703125" style="1" customWidth="1"/>
    <col min="2055" max="2056" width="0" style="1" hidden="1" customWidth="1"/>
    <col min="2057" max="2057" width="6.5703125" style="1" customWidth="1"/>
    <col min="2058" max="2058" width="3.85546875" style="1" customWidth="1"/>
    <col min="2059" max="2059" width="47.140625" style="1" customWidth="1"/>
    <col min="2060" max="2060" width="6.28515625" style="1" customWidth="1"/>
    <col min="2061" max="2061" width="0" style="1" hidden="1" customWidth="1"/>
    <col min="2062" max="2062" width="6.7109375" style="1" customWidth="1"/>
    <col min="2063" max="2063" width="9.28515625" style="1" customWidth="1"/>
    <col min="2064" max="2064" width="7.7109375" style="1" customWidth="1"/>
    <col min="2065" max="2065" width="7.28515625" style="1" customWidth="1"/>
    <col min="2066" max="2066" width="6.42578125" style="1" customWidth="1"/>
    <col min="2067" max="2304" width="9.140625" style="1"/>
    <col min="2305" max="2305" width="3.5703125" style="1" customWidth="1"/>
    <col min="2306" max="2306" width="33.42578125" style="1" customWidth="1"/>
    <col min="2307" max="2307" width="5.42578125" style="1" customWidth="1"/>
    <col min="2308" max="2308" width="5.7109375" style="1" customWidth="1"/>
    <col min="2309" max="2309" width="6.140625" style="1" customWidth="1"/>
    <col min="2310" max="2310" width="6.5703125" style="1" customWidth="1"/>
    <col min="2311" max="2312" width="0" style="1" hidden="1" customWidth="1"/>
    <col min="2313" max="2313" width="6.5703125" style="1" customWidth="1"/>
    <col min="2314" max="2314" width="3.85546875" style="1" customWidth="1"/>
    <col min="2315" max="2315" width="47.140625" style="1" customWidth="1"/>
    <col min="2316" max="2316" width="6.28515625" style="1" customWidth="1"/>
    <col min="2317" max="2317" width="0" style="1" hidden="1" customWidth="1"/>
    <col min="2318" max="2318" width="6.7109375" style="1" customWidth="1"/>
    <col min="2319" max="2319" width="9.28515625" style="1" customWidth="1"/>
    <col min="2320" max="2320" width="7.7109375" style="1" customWidth="1"/>
    <col min="2321" max="2321" width="7.28515625" style="1" customWidth="1"/>
    <col min="2322" max="2322" width="6.42578125" style="1" customWidth="1"/>
    <col min="2323" max="2560" width="9.140625" style="1"/>
    <col min="2561" max="2561" width="3.5703125" style="1" customWidth="1"/>
    <col min="2562" max="2562" width="33.42578125" style="1" customWidth="1"/>
    <col min="2563" max="2563" width="5.42578125" style="1" customWidth="1"/>
    <col min="2564" max="2564" width="5.7109375" style="1" customWidth="1"/>
    <col min="2565" max="2565" width="6.140625" style="1" customWidth="1"/>
    <col min="2566" max="2566" width="6.5703125" style="1" customWidth="1"/>
    <col min="2567" max="2568" width="0" style="1" hidden="1" customWidth="1"/>
    <col min="2569" max="2569" width="6.5703125" style="1" customWidth="1"/>
    <col min="2570" max="2570" width="3.85546875" style="1" customWidth="1"/>
    <col min="2571" max="2571" width="47.140625" style="1" customWidth="1"/>
    <col min="2572" max="2572" width="6.28515625" style="1" customWidth="1"/>
    <col min="2573" max="2573" width="0" style="1" hidden="1" customWidth="1"/>
    <col min="2574" max="2574" width="6.7109375" style="1" customWidth="1"/>
    <col min="2575" max="2575" width="9.28515625" style="1" customWidth="1"/>
    <col min="2576" max="2576" width="7.7109375" style="1" customWidth="1"/>
    <col min="2577" max="2577" width="7.28515625" style="1" customWidth="1"/>
    <col min="2578" max="2578" width="6.42578125" style="1" customWidth="1"/>
    <col min="2579" max="2816" width="9.140625" style="1"/>
    <col min="2817" max="2817" width="3.5703125" style="1" customWidth="1"/>
    <col min="2818" max="2818" width="33.42578125" style="1" customWidth="1"/>
    <col min="2819" max="2819" width="5.42578125" style="1" customWidth="1"/>
    <col min="2820" max="2820" width="5.7109375" style="1" customWidth="1"/>
    <col min="2821" max="2821" width="6.140625" style="1" customWidth="1"/>
    <col min="2822" max="2822" width="6.5703125" style="1" customWidth="1"/>
    <col min="2823" max="2824" width="0" style="1" hidden="1" customWidth="1"/>
    <col min="2825" max="2825" width="6.5703125" style="1" customWidth="1"/>
    <col min="2826" max="2826" width="3.85546875" style="1" customWidth="1"/>
    <col min="2827" max="2827" width="47.140625" style="1" customWidth="1"/>
    <col min="2828" max="2828" width="6.28515625" style="1" customWidth="1"/>
    <col min="2829" max="2829" width="0" style="1" hidden="1" customWidth="1"/>
    <col min="2830" max="2830" width="6.7109375" style="1" customWidth="1"/>
    <col min="2831" max="2831" width="9.28515625" style="1" customWidth="1"/>
    <col min="2832" max="2832" width="7.7109375" style="1" customWidth="1"/>
    <col min="2833" max="2833" width="7.28515625" style="1" customWidth="1"/>
    <col min="2834" max="2834" width="6.42578125" style="1" customWidth="1"/>
    <col min="2835" max="3072" width="9.140625" style="1"/>
    <col min="3073" max="3073" width="3.5703125" style="1" customWidth="1"/>
    <col min="3074" max="3074" width="33.42578125" style="1" customWidth="1"/>
    <col min="3075" max="3075" width="5.42578125" style="1" customWidth="1"/>
    <col min="3076" max="3076" width="5.7109375" style="1" customWidth="1"/>
    <col min="3077" max="3077" width="6.140625" style="1" customWidth="1"/>
    <col min="3078" max="3078" width="6.5703125" style="1" customWidth="1"/>
    <col min="3079" max="3080" width="0" style="1" hidden="1" customWidth="1"/>
    <col min="3081" max="3081" width="6.5703125" style="1" customWidth="1"/>
    <col min="3082" max="3082" width="3.85546875" style="1" customWidth="1"/>
    <col min="3083" max="3083" width="47.140625" style="1" customWidth="1"/>
    <col min="3084" max="3084" width="6.28515625" style="1" customWidth="1"/>
    <col min="3085" max="3085" width="0" style="1" hidden="1" customWidth="1"/>
    <col min="3086" max="3086" width="6.7109375" style="1" customWidth="1"/>
    <col min="3087" max="3087" width="9.28515625" style="1" customWidth="1"/>
    <col min="3088" max="3088" width="7.7109375" style="1" customWidth="1"/>
    <col min="3089" max="3089" width="7.28515625" style="1" customWidth="1"/>
    <col min="3090" max="3090" width="6.42578125" style="1" customWidth="1"/>
    <col min="3091" max="3328" width="9.140625" style="1"/>
    <col min="3329" max="3329" width="3.5703125" style="1" customWidth="1"/>
    <col min="3330" max="3330" width="33.42578125" style="1" customWidth="1"/>
    <col min="3331" max="3331" width="5.42578125" style="1" customWidth="1"/>
    <col min="3332" max="3332" width="5.7109375" style="1" customWidth="1"/>
    <col min="3333" max="3333" width="6.140625" style="1" customWidth="1"/>
    <col min="3334" max="3334" width="6.5703125" style="1" customWidth="1"/>
    <col min="3335" max="3336" width="0" style="1" hidden="1" customWidth="1"/>
    <col min="3337" max="3337" width="6.5703125" style="1" customWidth="1"/>
    <col min="3338" max="3338" width="3.85546875" style="1" customWidth="1"/>
    <col min="3339" max="3339" width="47.140625" style="1" customWidth="1"/>
    <col min="3340" max="3340" width="6.28515625" style="1" customWidth="1"/>
    <col min="3341" max="3341" width="0" style="1" hidden="1" customWidth="1"/>
    <col min="3342" max="3342" width="6.7109375" style="1" customWidth="1"/>
    <col min="3343" max="3343" width="9.28515625" style="1" customWidth="1"/>
    <col min="3344" max="3344" width="7.7109375" style="1" customWidth="1"/>
    <col min="3345" max="3345" width="7.28515625" style="1" customWidth="1"/>
    <col min="3346" max="3346" width="6.42578125" style="1" customWidth="1"/>
    <col min="3347" max="3584" width="9.140625" style="1"/>
    <col min="3585" max="3585" width="3.5703125" style="1" customWidth="1"/>
    <col min="3586" max="3586" width="33.42578125" style="1" customWidth="1"/>
    <col min="3587" max="3587" width="5.42578125" style="1" customWidth="1"/>
    <col min="3588" max="3588" width="5.7109375" style="1" customWidth="1"/>
    <col min="3589" max="3589" width="6.140625" style="1" customWidth="1"/>
    <col min="3590" max="3590" width="6.5703125" style="1" customWidth="1"/>
    <col min="3591" max="3592" width="0" style="1" hidden="1" customWidth="1"/>
    <col min="3593" max="3593" width="6.5703125" style="1" customWidth="1"/>
    <col min="3594" max="3594" width="3.85546875" style="1" customWidth="1"/>
    <col min="3595" max="3595" width="47.140625" style="1" customWidth="1"/>
    <col min="3596" max="3596" width="6.28515625" style="1" customWidth="1"/>
    <col min="3597" max="3597" width="0" style="1" hidden="1" customWidth="1"/>
    <col min="3598" max="3598" width="6.7109375" style="1" customWidth="1"/>
    <col min="3599" max="3599" width="9.28515625" style="1" customWidth="1"/>
    <col min="3600" max="3600" width="7.7109375" style="1" customWidth="1"/>
    <col min="3601" max="3601" width="7.28515625" style="1" customWidth="1"/>
    <col min="3602" max="3602" width="6.42578125" style="1" customWidth="1"/>
    <col min="3603" max="3840" width="9.140625" style="1"/>
    <col min="3841" max="3841" width="3.5703125" style="1" customWidth="1"/>
    <col min="3842" max="3842" width="33.42578125" style="1" customWidth="1"/>
    <col min="3843" max="3843" width="5.42578125" style="1" customWidth="1"/>
    <col min="3844" max="3844" width="5.7109375" style="1" customWidth="1"/>
    <col min="3845" max="3845" width="6.140625" style="1" customWidth="1"/>
    <col min="3846" max="3846" width="6.5703125" style="1" customWidth="1"/>
    <col min="3847" max="3848" width="0" style="1" hidden="1" customWidth="1"/>
    <col min="3849" max="3849" width="6.5703125" style="1" customWidth="1"/>
    <col min="3850" max="3850" width="3.85546875" style="1" customWidth="1"/>
    <col min="3851" max="3851" width="47.140625" style="1" customWidth="1"/>
    <col min="3852" max="3852" width="6.28515625" style="1" customWidth="1"/>
    <col min="3853" max="3853" width="0" style="1" hidden="1" customWidth="1"/>
    <col min="3854" max="3854" width="6.7109375" style="1" customWidth="1"/>
    <col min="3855" max="3855" width="9.28515625" style="1" customWidth="1"/>
    <col min="3856" max="3856" width="7.7109375" style="1" customWidth="1"/>
    <col min="3857" max="3857" width="7.28515625" style="1" customWidth="1"/>
    <col min="3858" max="3858" width="6.42578125" style="1" customWidth="1"/>
    <col min="3859" max="4096" width="9.140625" style="1"/>
    <col min="4097" max="4097" width="3.5703125" style="1" customWidth="1"/>
    <col min="4098" max="4098" width="33.42578125" style="1" customWidth="1"/>
    <col min="4099" max="4099" width="5.42578125" style="1" customWidth="1"/>
    <col min="4100" max="4100" width="5.7109375" style="1" customWidth="1"/>
    <col min="4101" max="4101" width="6.140625" style="1" customWidth="1"/>
    <col min="4102" max="4102" width="6.5703125" style="1" customWidth="1"/>
    <col min="4103" max="4104" width="0" style="1" hidden="1" customWidth="1"/>
    <col min="4105" max="4105" width="6.5703125" style="1" customWidth="1"/>
    <col min="4106" max="4106" width="3.85546875" style="1" customWidth="1"/>
    <col min="4107" max="4107" width="47.140625" style="1" customWidth="1"/>
    <col min="4108" max="4108" width="6.28515625" style="1" customWidth="1"/>
    <col min="4109" max="4109" width="0" style="1" hidden="1" customWidth="1"/>
    <col min="4110" max="4110" width="6.7109375" style="1" customWidth="1"/>
    <col min="4111" max="4111" width="9.28515625" style="1" customWidth="1"/>
    <col min="4112" max="4112" width="7.7109375" style="1" customWidth="1"/>
    <col min="4113" max="4113" width="7.28515625" style="1" customWidth="1"/>
    <col min="4114" max="4114" width="6.42578125" style="1" customWidth="1"/>
    <col min="4115" max="4352" width="9.140625" style="1"/>
    <col min="4353" max="4353" width="3.5703125" style="1" customWidth="1"/>
    <col min="4354" max="4354" width="33.42578125" style="1" customWidth="1"/>
    <col min="4355" max="4355" width="5.42578125" style="1" customWidth="1"/>
    <col min="4356" max="4356" width="5.7109375" style="1" customWidth="1"/>
    <col min="4357" max="4357" width="6.140625" style="1" customWidth="1"/>
    <col min="4358" max="4358" width="6.5703125" style="1" customWidth="1"/>
    <col min="4359" max="4360" width="0" style="1" hidden="1" customWidth="1"/>
    <col min="4361" max="4361" width="6.5703125" style="1" customWidth="1"/>
    <col min="4362" max="4362" width="3.85546875" style="1" customWidth="1"/>
    <col min="4363" max="4363" width="47.140625" style="1" customWidth="1"/>
    <col min="4364" max="4364" width="6.28515625" style="1" customWidth="1"/>
    <col min="4365" max="4365" width="0" style="1" hidden="1" customWidth="1"/>
    <col min="4366" max="4366" width="6.7109375" style="1" customWidth="1"/>
    <col min="4367" max="4367" width="9.28515625" style="1" customWidth="1"/>
    <col min="4368" max="4368" width="7.7109375" style="1" customWidth="1"/>
    <col min="4369" max="4369" width="7.28515625" style="1" customWidth="1"/>
    <col min="4370" max="4370" width="6.42578125" style="1" customWidth="1"/>
    <col min="4371" max="4608" width="9.140625" style="1"/>
    <col min="4609" max="4609" width="3.5703125" style="1" customWidth="1"/>
    <col min="4610" max="4610" width="33.42578125" style="1" customWidth="1"/>
    <col min="4611" max="4611" width="5.42578125" style="1" customWidth="1"/>
    <col min="4612" max="4612" width="5.7109375" style="1" customWidth="1"/>
    <col min="4613" max="4613" width="6.140625" style="1" customWidth="1"/>
    <col min="4614" max="4614" width="6.5703125" style="1" customWidth="1"/>
    <col min="4615" max="4616" width="0" style="1" hidden="1" customWidth="1"/>
    <col min="4617" max="4617" width="6.5703125" style="1" customWidth="1"/>
    <col min="4618" max="4618" width="3.85546875" style="1" customWidth="1"/>
    <col min="4619" max="4619" width="47.140625" style="1" customWidth="1"/>
    <col min="4620" max="4620" width="6.28515625" style="1" customWidth="1"/>
    <col min="4621" max="4621" width="0" style="1" hidden="1" customWidth="1"/>
    <col min="4622" max="4622" width="6.7109375" style="1" customWidth="1"/>
    <col min="4623" max="4623" width="9.28515625" style="1" customWidth="1"/>
    <col min="4624" max="4624" width="7.7109375" style="1" customWidth="1"/>
    <col min="4625" max="4625" width="7.28515625" style="1" customWidth="1"/>
    <col min="4626" max="4626" width="6.42578125" style="1" customWidth="1"/>
    <col min="4627" max="4864" width="9.140625" style="1"/>
    <col min="4865" max="4865" width="3.5703125" style="1" customWidth="1"/>
    <col min="4866" max="4866" width="33.42578125" style="1" customWidth="1"/>
    <col min="4867" max="4867" width="5.42578125" style="1" customWidth="1"/>
    <col min="4868" max="4868" width="5.7109375" style="1" customWidth="1"/>
    <col min="4869" max="4869" width="6.140625" style="1" customWidth="1"/>
    <col min="4870" max="4870" width="6.5703125" style="1" customWidth="1"/>
    <col min="4871" max="4872" width="0" style="1" hidden="1" customWidth="1"/>
    <col min="4873" max="4873" width="6.5703125" style="1" customWidth="1"/>
    <col min="4874" max="4874" width="3.85546875" style="1" customWidth="1"/>
    <col min="4875" max="4875" width="47.140625" style="1" customWidth="1"/>
    <col min="4876" max="4876" width="6.28515625" style="1" customWidth="1"/>
    <col min="4877" max="4877" width="0" style="1" hidden="1" customWidth="1"/>
    <col min="4878" max="4878" width="6.7109375" style="1" customWidth="1"/>
    <col min="4879" max="4879" width="9.28515625" style="1" customWidth="1"/>
    <col min="4880" max="4880" width="7.7109375" style="1" customWidth="1"/>
    <col min="4881" max="4881" width="7.28515625" style="1" customWidth="1"/>
    <col min="4882" max="4882" width="6.42578125" style="1" customWidth="1"/>
    <col min="4883" max="5120" width="9.140625" style="1"/>
    <col min="5121" max="5121" width="3.5703125" style="1" customWidth="1"/>
    <col min="5122" max="5122" width="33.42578125" style="1" customWidth="1"/>
    <col min="5123" max="5123" width="5.42578125" style="1" customWidth="1"/>
    <col min="5124" max="5124" width="5.7109375" style="1" customWidth="1"/>
    <col min="5125" max="5125" width="6.140625" style="1" customWidth="1"/>
    <col min="5126" max="5126" width="6.5703125" style="1" customWidth="1"/>
    <col min="5127" max="5128" width="0" style="1" hidden="1" customWidth="1"/>
    <col min="5129" max="5129" width="6.5703125" style="1" customWidth="1"/>
    <col min="5130" max="5130" width="3.85546875" style="1" customWidth="1"/>
    <col min="5131" max="5131" width="47.140625" style="1" customWidth="1"/>
    <col min="5132" max="5132" width="6.28515625" style="1" customWidth="1"/>
    <col min="5133" max="5133" width="0" style="1" hidden="1" customWidth="1"/>
    <col min="5134" max="5134" width="6.7109375" style="1" customWidth="1"/>
    <col min="5135" max="5135" width="9.28515625" style="1" customWidth="1"/>
    <col min="5136" max="5136" width="7.7109375" style="1" customWidth="1"/>
    <col min="5137" max="5137" width="7.28515625" style="1" customWidth="1"/>
    <col min="5138" max="5138" width="6.42578125" style="1" customWidth="1"/>
    <col min="5139" max="5376" width="9.140625" style="1"/>
    <col min="5377" max="5377" width="3.5703125" style="1" customWidth="1"/>
    <col min="5378" max="5378" width="33.42578125" style="1" customWidth="1"/>
    <col min="5379" max="5379" width="5.42578125" style="1" customWidth="1"/>
    <col min="5380" max="5380" width="5.7109375" style="1" customWidth="1"/>
    <col min="5381" max="5381" width="6.140625" style="1" customWidth="1"/>
    <col min="5382" max="5382" width="6.5703125" style="1" customWidth="1"/>
    <col min="5383" max="5384" width="0" style="1" hidden="1" customWidth="1"/>
    <col min="5385" max="5385" width="6.5703125" style="1" customWidth="1"/>
    <col min="5386" max="5386" width="3.85546875" style="1" customWidth="1"/>
    <col min="5387" max="5387" width="47.140625" style="1" customWidth="1"/>
    <col min="5388" max="5388" width="6.28515625" style="1" customWidth="1"/>
    <col min="5389" max="5389" width="0" style="1" hidden="1" customWidth="1"/>
    <col min="5390" max="5390" width="6.7109375" style="1" customWidth="1"/>
    <col min="5391" max="5391" width="9.28515625" style="1" customWidth="1"/>
    <col min="5392" max="5392" width="7.7109375" style="1" customWidth="1"/>
    <col min="5393" max="5393" width="7.28515625" style="1" customWidth="1"/>
    <col min="5394" max="5394" width="6.42578125" style="1" customWidth="1"/>
    <col min="5395" max="5632" width="9.140625" style="1"/>
    <col min="5633" max="5633" width="3.5703125" style="1" customWidth="1"/>
    <col min="5634" max="5634" width="33.42578125" style="1" customWidth="1"/>
    <col min="5635" max="5635" width="5.42578125" style="1" customWidth="1"/>
    <col min="5636" max="5636" width="5.7109375" style="1" customWidth="1"/>
    <col min="5637" max="5637" width="6.140625" style="1" customWidth="1"/>
    <col min="5638" max="5638" width="6.5703125" style="1" customWidth="1"/>
    <col min="5639" max="5640" width="0" style="1" hidden="1" customWidth="1"/>
    <col min="5641" max="5641" width="6.5703125" style="1" customWidth="1"/>
    <col min="5642" max="5642" width="3.85546875" style="1" customWidth="1"/>
    <col min="5643" max="5643" width="47.140625" style="1" customWidth="1"/>
    <col min="5644" max="5644" width="6.28515625" style="1" customWidth="1"/>
    <col min="5645" max="5645" width="0" style="1" hidden="1" customWidth="1"/>
    <col min="5646" max="5646" width="6.7109375" style="1" customWidth="1"/>
    <col min="5647" max="5647" width="9.28515625" style="1" customWidth="1"/>
    <col min="5648" max="5648" width="7.7109375" style="1" customWidth="1"/>
    <col min="5649" max="5649" width="7.28515625" style="1" customWidth="1"/>
    <col min="5650" max="5650" width="6.42578125" style="1" customWidth="1"/>
    <col min="5651" max="5888" width="9.140625" style="1"/>
    <col min="5889" max="5889" width="3.5703125" style="1" customWidth="1"/>
    <col min="5890" max="5890" width="33.42578125" style="1" customWidth="1"/>
    <col min="5891" max="5891" width="5.42578125" style="1" customWidth="1"/>
    <col min="5892" max="5892" width="5.7109375" style="1" customWidth="1"/>
    <col min="5893" max="5893" width="6.140625" style="1" customWidth="1"/>
    <col min="5894" max="5894" width="6.5703125" style="1" customWidth="1"/>
    <col min="5895" max="5896" width="0" style="1" hidden="1" customWidth="1"/>
    <col min="5897" max="5897" width="6.5703125" style="1" customWidth="1"/>
    <col min="5898" max="5898" width="3.85546875" style="1" customWidth="1"/>
    <col min="5899" max="5899" width="47.140625" style="1" customWidth="1"/>
    <col min="5900" max="5900" width="6.28515625" style="1" customWidth="1"/>
    <col min="5901" max="5901" width="0" style="1" hidden="1" customWidth="1"/>
    <col min="5902" max="5902" width="6.7109375" style="1" customWidth="1"/>
    <col min="5903" max="5903" width="9.28515625" style="1" customWidth="1"/>
    <col min="5904" max="5904" width="7.7109375" style="1" customWidth="1"/>
    <col min="5905" max="5905" width="7.28515625" style="1" customWidth="1"/>
    <col min="5906" max="5906" width="6.42578125" style="1" customWidth="1"/>
    <col min="5907" max="6144" width="9.140625" style="1"/>
    <col min="6145" max="6145" width="3.5703125" style="1" customWidth="1"/>
    <col min="6146" max="6146" width="33.42578125" style="1" customWidth="1"/>
    <col min="6147" max="6147" width="5.42578125" style="1" customWidth="1"/>
    <col min="6148" max="6148" width="5.7109375" style="1" customWidth="1"/>
    <col min="6149" max="6149" width="6.140625" style="1" customWidth="1"/>
    <col min="6150" max="6150" width="6.5703125" style="1" customWidth="1"/>
    <col min="6151" max="6152" width="0" style="1" hidden="1" customWidth="1"/>
    <col min="6153" max="6153" width="6.5703125" style="1" customWidth="1"/>
    <col min="6154" max="6154" width="3.85546875" style="1" customWidth="1"/>
    <col min="6155" max="6155" width="47.140625" style="1" customWidth="1"/>
    <col min="6156" max="6156" width="6.28515625" style="1" customWidth="1"/>
    <col min="6157" max="6157" width="0" style="1" hidden="1" customWidth="1"/>
    <col min="6158" max="6158" width="6.7109375" style="1" customWidth="1"/>
    <col min="6159" max="6159" width="9.28515625" style="1" customWidth="1"/>
    <col min="6160" max="6160" width="7.7109375" style="1" customWidth="1"/>
    <col min="6161" max="6161" width="7.28515625" style="1" customWidth="1"/>
    <col min="6162" max="6162" width="6.42578125" style="1" customWidth="1"/>
    <col min="6163" max="6400" width="9.140625" style="1"/>
    <col min="6401" max="6401" width="3.5703125" style="1" customWidth="1"/>
    <col min="6402" max="6402" width="33.42578125" style="1" customWidth="1"/>
    <col min="6403" max="6403" width="5.42578125" style="1" customWidth="1"/>
    <col min="6404" max="6404" width="5.7109375" style="1" customWidth="1"/>
    <col min="6405" max="6405" width="6.140625" style="1" customWidth="1"/>
    <col min="6406" max="6406" width="6.5703125" style="1" customWidth="1"/>
    <col min="6407" max="6408" width="0" style="1" hidden="1" customWidth="1"/>
    <col min="6409" max="6409" width="6.5703125" style="1" customWidth="1"/>
    <col min="6410" max="6410" width="3.85546875" style="1" customWidth="1"/>
    <col min="6411" max="6411" width="47.140625" style="1" customWidth="1"/>
    <col min="6412" max="6412" width="6.28515625" style="1" customWidth="1"/>
    <col min="6413" max="6413" width="0" style="1" hidden="1" customWidth="1"/>
    <col min="6414" max="6414" width="6.7109375" style="1" customWidth="1"/>
    <col min="6415" max="6415" width="9.28515625" style="1" customWidth="1"/>
    <col min="6416" max="6416" width="7.7109375" style="1" customWidth="1"/>
    <col min="6417" max="6417" width="7.28515625" style="1" customWidth="1"/>
    <col min="6418" max="6418" width="6.42578125" style="1" customWidth="1"/>
    <col min="6419" max="6656" width="9.140625" style="1"/>
    <col min="6657" max="6657" width="3.5703125" style="1" customWidth="1"/>
    <col min="6658" max="6658" width="33.42578125" style="1" customWidth="1"/>
    <col min="6659" max="6659" width="5.42578125" style="1" customWidth="1"/>
    <col min="6660" max="6660" width="5.7109375" style="1" customWidth="1"/>
    <col min="6661" max="6661" width="6.140625" style="1" customWidth="1"/>
    <col min="6662" max="6662" width="6.5703125" style="1" customWidth="1"/>
    <col min="6663" max="6664" width="0" style="1" hidden="1" customWidth="1"/>
    <col min="6665" max="6665" width="6.5703125" style="1" customWidth="1"/>
    <col min="6666" max="6666" width="3.85546875" style="1" customWidth="1"/>
    <col min="6667" max="6667" width="47.140625" style="1" customWidth="1"/>
    <col min="6668" max="6668" width="6.28515625" style="1" customWidth="1"/>
    <col min="6669" max="6669" width="0" style="1" hidden="1" customWidth="1"/>
    <col min="6670" max="6670" width="6.7109375" style="1" customWidth="1"/>
    <col min="6671" max="6671" width="9.28515625" style="1" customWidth="1"/>
    <col min="6672" max="6672" width="7.7109375" style="1" customWidth="1"/>
    <col min="6673" max="6673" width="7.28515625" style="1" customWidth="1"/>
    <col min="6674" max="6674" width="6.42578125" style="1" customWidth="1"/>
    <col min="6675" max="6912" width="9.140625" style="1"/>
    <col min="6913" max="6913" width="3.5703125" style="1" customWidth="1"/>
    <col min="6914" max="6914" width="33.42578125" style="1" customWidth="1"/>
    <col min="6915" max="6915" width="5.42578125" style="1" customWidth="1"/>
    <col min="6916" max="6916" width="5.7109375" style="1" customWidth="1"/>
    <col min="6917" max="6917" width="6.140625" style="1" customWidth="1"/>
    <col min="6918" max="6918" width="6.5703125" style="1" customWidth="1"/>
    <col min="6919" max="6920" width="0" style="1" hidden="1" customWidth="1"/>
    <col min="6921" max="6921" width="6.5703125" style="1" customWidth="1"/>
    <col min="6922" max="6922" width="3.85546875" style="1" customWidth="1"/>
    <col min="6923" max="6923" width="47.140625" style="1" customWidth="1"/>
    <col min="6924" max="6924" width="6.28515625" style="1" customWidth="1"/>
    <col min="6925" max="6925" width="0" style="1" hidden="1" customWidth="1"/>
    <col min="6926" max="6926" width="6.7109375" style="1" customWidth="1"/>
    <col min="6927" max="6927" width="9.28515625" style="1" customWidth="1"/>
    <col min="6928" max="6928" width="7.7109375" style="1" customWidth="1"/>
    <col min="6929" max="6929" width="7.28515625" style="1" customWidth="1"/>
    <col min="6930" max="6930" width="6.42578125" style="1" customWidth="1"/>
    <col min="6931" max="7168" width="9.140625" style="1"/>
    <col min="7169" max="7169" width="3.5703125" style="1" customWidth="1"/>
    <col min="7170" max="7170" width="33.42578125" style="1" customWidth="1"/>
    <col min="7171" max="7171" width="5.42578125" style="1" customWidth="1"/>
    <col min="7172" max="7172" width="5.7109375" style="1" customWidth="1"/>
    <col min="7173" max="7173" width="6.140625" style="1" customWidth="1"/>
    <col min="7174" max="7174" width="6.5703125" style="1" customWidth="1"/>
    <col min="7175" max="7176" width="0" style="1" hidden="1" customWidth="1"/>
    <col min="7177" max="7177" width="6.5703125" style="1" customWidth="1"/>
    <col min="7178" max="7178" width="3.85546875" style="1" customWidth="1"/>
    <col min="7179" max="7179" width="47.140625" style="1" customWidth="1"/>
    <col min="7180" max="7180" width="6.28515625" style="1" customWidth="1"/>
    <col min="7181" max="7181" width="0" style="1" hidden="1" customWidth="1"/>
    <col min="7182" max="7182" width="6.7109375" style="1" customWidth="1"/>
    <col min="7183" max="7183" width="9.28515625" style="1" customWidth="1"/>
    <col min="7184" max="7184" width="7.7109375" style="1" customWidth="1"/>
    <col min="7185" max="7185" width="7.28515625" style="1" customWidth="1"/>
    <col min="7186" max="7186" width="6.42578125" style="1" customWidth="1"/>
    <col min="7187" max="7424" width="9.140625" style="1"/>
    <col min="7425" max="7425" width="3.5703125" style="1" customWidth="1"/>
    <col min="7426" max="7426" width="33.42578125" style="1" customWidth="1"/>
    <col min="7427" max="7427" width="5.42578125" style="1" customWidth="1"/>
    <col min="7428" max="7428" width="5.7109375" style="1" customWidth="1"/>
    <col min="7429" max="7429" width="6.140625" style="1" customWidth="1"/>
    <col min="7430" max="7430" width="6.5703125" style="1" customWidth="1"/>
    <col min="7431" max="7432" width="0" style="1" hidden="1" customWidth="1"/>
    <col min="7433" max="7433" width="6.5703125" style="1" customWidth="1"/>
    <col min="7434" max="7434" width="3.85546875" style="1" customWidth="1"/>
    <col min="7435" max="7435" width="47.140625" style="1" customWidth="1"/>
    <col min="7436" max="7436" width="6.28515625" style="1" customWidth="1"/>
    <col min="7437" max="7437" width="0" style="1" hidden="1" customWidth="1"/>
    <col min="7438" max="7438" width="6.7109375" style="1" customWidth="1"/>
    <col min="7439" max="7439" width="9.28515625" style="1" customWidth="1"/>
    <col min="7440" max="7440" width="7.7109375" style="1" customWidth="1"/>
    <col min="7441" max="7441" width="7.28515625" style="1" customWidth="1"/>
    <col min="7442" max="7442" width="6.42578125" style="1" customWidth="1"/>
    <col min="7443" max="7680" width="9.140625" style="1"/>
    <col min="7681" max="7681" width="3.5703125" style="1" customWidth="1"/>
    <col min="7682" max="7682" width="33.42578125" style="1" customWidth="1"/>
    <col min="7683" max="7683" width="5.42578125" style="1" customWidth="1"/>
    <col min="7684" max="7684" width="5.7109375" style="1" customWidth="1"/>
    <col min="7685" max="7685" width="6.140625" style="1" customWidth="1"/>
    <col min="7686" max="7686" width="6.5703125" style="1" customWidth="1"/>
    <col min="7687" max="7688" width="0" style="1" hidden="1" customWidth="1"/>
    <col min="7689" max="7689" width="6.5703125" style="1" customWidth="1"/>
    <col min="7690" max="7690" width="3.85546875" style="1" customWidth="1"/>
    <col min="7691" max="7691" width="47.140625" style="1" customWidth="1"/>
    <col min="7692" max="7692" width="6.28515625" style="1" customWidth="1"/>
    <col min="7693" max="7693" width="0" style="1" hidden="1" customWidth="1"/>
    <col min="7694" max="7694" width="6.7109375" style="1" customWidth="1"/>
    <col min="7695" max="7695" width="9.28515625" style="1" customWidth="1"/>
    <col min="7696" max="7696" width="7.7109375" style="1" customWidth="1"/>
    <col min="7697" max="7697" width="7.28515625" style="1" customWidth="1"/>
    <col min="7698" max="7698" width="6.42578125" style="1" customWidth="1"/>
    <col min="7699" max="7936" width="9.140625" style="1"/>
    <col min="7937" max="7937" width="3.5703125" style="1" customWidth="1"/>
    <col min="7938" max="7938" width="33.42578125" style="1" customWidth="1"/>
    <col min="7939" max="7939" width="5.42578125" style="1" customWidth="1"/>
    <col min="7940" max="7940" width="5.7109375" style="1" customWidth="1"/>
    <col min="7941" max="7941" width="6.140625" style="1" customWidth="1"/>
    <col min="7942" max="7942" width="6.5703125" style="1" customWidth="1"/>
    <col min="7943" max="7944" width="0" style="1" hidden="1" customWidth="1"/>
    <col min="7945" max="7945" width="6.5703125" style="1" customWidth="1"/>
    <col min="7946" max="7946" width="3.85546875" style="1" customWidth="1"/>
    <col min="7947" max="7947" width="47.140625" style="1" customWidth="1"/>
    <col min="7948" max="7948" width="6.28515625" style="1" customWidth="1"/>
    <col min="7949" max="7949" width="0" style="1" hidden="1" customWidth="1"/>
    <col min="7950" max="7950" width="6.7109375" style="1" customWidth="1"/>
    <col min="7951" max="7951" width="9.28515625" style="1" customWidth="1"/>
    <col min="7952" max="7952" width="7.7109375" style="1" customWidth="1"/>
    <col min="7953" max="7953" width="7.28515625" style="1" customWidth="1"/>
    <col min="7954" max="7954" width="6.42578125" style="1" customWidth="1"/>
    <col min="7955" max="8192" width="9.140625" style="1"/>
    <col min="8193" max="8193" width="3.5703125" style="1" customWidth="1"/>
    <col min="8194" max="8194" width="33.42578125" style="1" customWidth="1"/>
    <col min="8195" max="8195" width="5.42578125" style="1" customWidth="1"/>
    <col min="8196" max="8196" width="5.7109375" style="1" customWidth="1"/>
    <col min="8197" max="8197" width="6.140625" style="1" customWidth="1"/>
    <col min="8198" max="8198" width="6.5703125" style="1" customWidth="1"/>
    <col min="8199" max="8200" width="0" style="1" hidden="1" customWidth="1"/>
    <col min="8201" max="8201" width="6.5703125" style="1" customWidth="1"/>
    <col min="8202" max="8202" width="3.85546875" style="1" customWidth="1"/>
    <col min="8203" max="8203" width="47.140625" style="1" customWidth="1"/>
    <col min="8204" max="8204" width="6.28515625" style="1" customWidth="1"/>
    <col min="8205" max="8205" width="0" style="1" hidden="1" customWidth="1"/>
    <col min="8206" max="8206" width="6.7109375" style="1" customWidth="1"/>
    <col min="8207" max="8207" width="9.28515625" style="1" customWidth="1"/>
    <col min="8208" max="8208" width="7.7109375" style="1" customWidth="1"/>
    <col min="8209" max="8209" width="7.28515625" style="1" customWidth="1"/>
    <col min="8210" max="8210" width="6.42578125" style="1" customWidth="1"/>
    <col min="8211" max="8448" width="9.140625" style="1"/>
    <col min="8449" max="8449" width="3.5703125" style="1" customWidth="1"/>
    <col min="8450" max="8450" width="33.42578125" style="1" customWidth="1"/>
    <col min="8451" max="8451" width="5.42578125" style="1" customWidth="1"/>
    <col min="8452" max="8452" width="5.7109375" style="1" customWidth="1"/>
    <col min="8453" max="8453" width="6.140625" style="1" customWidth="1"/>
    <col min="8454" max="8454" width="6.5703125" style="1" customWidth="1"/>
    <col min="8455" max="8456" width="0" style="1" hidden="1" customWidth="1"/>
    <col min="8457" max="8457" width="6.5703125" style="1" customWidth="1"/>
    <col min="8458" max="8458" width="3.85546875" style="1" customWidth="1"/>
    <col min="8459" max="8459" width="47.140625" style="1" customWidth="1"/>
    <col min="8460" max="8460" width="6.28515625" style="1" customWidth="1"/>
    <col min="8461" max="8461" width="0" style="1" hidden="1" customWidth="1"/>
    <col min="8462" max="8462" width="6.7109375" style="1" customWidth="1"/>
    <col min="8463" max="8463" width="9.28515625" style="1" customWidth="1"/>
    <col min="8464" max="8464" width="7.7109375" style="1" customWidth="1"/>
    <col min="8465" max="8465" width="7.28515625" style="1" customWidth="1"/>
    <col min="8466" max="8466" width="6.42578125" style="1" customWidth="1"/>
    <col min="8467" max="8704" width="9.140625" style="1"/>
    <col min="8705" max="8705" width="3.5703125" style="1" customWidth="1"/>
    <col min="8706" max="8706" width="33.42578125" style="1" customWidth="1"/>
    <col min="8707" max="8707" width="5.42578125" style="1" customWidth="1"/>
    <col min="8708" max="8708" width="5.7109375" style="1" customWidth="1"/>
    <col min="8709" max="8709" width="6.140625" style="1" customWidth="1"/>
    <col min="8710" max="8710" width="6.5703125" style="1" customWidth="1"/>
    <col min="8711" max="8712" width="0" style="1" hidden="1" customWidth="1"/>
    <col min="8713" max="8713" width="6.5703125" style="1" customWidth="1"/>
    <col min="8714" max="8714" width="3.85546875" style="1" customWidth="1"/>
    <col min="8715" max="8715" width="47.140625" style="1" customWidth="1"/>
    <col min="8716" max="8716" width="6.28515625" style="1" customWidth="1"/>
    <col min="8717" max="8717" width="0" style="1" hidden="1" customWidth="1"/>
    <col min="8718" max="8718" width="6.7109375" style="1" customWidth="1"/>
    <col min="8719" max="8719" width="9.28515625" style="1" customWidth="1"/>
    <col min="8720" max="8720" width="7.7109375" style="1" customWidth="1"/>
    <col min="8721" max="8721" width="7.28515625" style="1" customWidth="1"/>
    <col min="8722" max="8722" width="6.42578125" style="1" customWidth="1"/>
    <col min="8723" max="8960" width="9.140625" style="1"/>
    <col min="8961" max="8961" width="3.5703125" style="1" customWidth="1"/>
    <col min="8962" max="8962" width="33.42578125" style="1" customWidth="1"/>
    <col min="8963" max="8963" width="5.42578125" style="1" customWidth="1"/>
    <col min="8964" max="8964" width="5.7109375" style="1" customWidth="1"/>
    <col min="8965" max="8965" width="6.140625" style="1" customWidth="1"/>
    <col min="8966" max="8966" width="6.5703125" style="1" customWidth="1"/>
    <col min="8967" max="8968" width="0" style="1" hidden="1" customWidth="1"/>
    <col min="8969" max="8969" width="6.5703125" style="1" customWidth="1"/>
    <col min="8970" max="8970" width="3.85546875" style="1" customWidth="1"/>
    <col min="8971" max="8971" width="47.140625" style="1" customWidth="1"/>
    <col min="8972" max="8972" width="6.28515625" style="1" customWidth="1"/>
    <col min="8973" max="8973" width="0" style="1" hidden="1" customWidth="1"/>
    <col min="8974" max="8974" width="6.7109375" style="1" customWidth="1"/>
    <col min="8975" max="8975" width="9.28515625" style="1" customWidth="1"/>
    <col min="8976" max="8976" width="7.7109375" style="1" customWidth="1"/>
    <col min="8977" max="8977" width="7.28515625" style="1" customWidth="1"/>
    <col min="8978" max="8978" width="6.42578125" style="1" customWidth="1"/>
    <col min="8979" max="9216" width="9.140625" style="1"/>
    <col min="9217" max="9217" width="3.5703125" style="1" customWidth="1"/>
    <col min="9218" max="9218" width="33.42578125" style="1" customWidth="1"/>
    <col min="9219" max="9219" width="5.42578125" style="1" customWidth="1"/>
    <col min="9220" max="9220" width="5.7109375" style="1" customWidth="1"/>
    <col min="9221" max="9221" width="6.140625" style="1" customWidth="1"/>
    <col min="9222" max="9222" width="6.5703125" style="1" customWidth="1"/>
    <col min="9223" max="9224" width="0" style="1" hidden="1" customWidth="1"/>
    <col min="9225" max="9225" width="6.5703125" style="1" customWidth="1"/>
    <col min="9226" max="9226" width="3.85546875" style="1" customWidth="1"/>
    <col min="9227" max="9227" width="47.140625" style="1" customWidth="1"/>
    <col min="9228" max="9228" width="6.28515625" style="1" customWidth="1"/>
    <col min="9229" max="9229" width="0" style="1" hidden="1" customWidth="1"/>
    <col min="9230" max="9230" width="6.7109375" style="1" customWidth="1"/>
    <col min="9231" max="9231" width="9.28515625" style="1" customWidth="1"/>
    <col min="9232" max="9232" width="7.7109375" style="1" customWidth="1"/>
    <col min="9233" max="9233" width="7.28515625" style="1" customWidth="1"/>
    <col min="9234" max="9234" width="6.42578125" style="1" customWidth="1"/>
    <col min="9235" max="9472" width="9.140625" style="1"/>
    <col min="9473" max="9473" width="3.5703125" style="1" customWidth="1"/>
    <col min="9474" max="9474" width="33.42578125" style="1" customWidth="1"/>
    <col min="9475" max="9475" width="5.42578125" style="1" customWidth="1"/>
    <col min="9476" max="9476" width="5.7109375" style="1" customWidth="1"/>
    <col min="9477" max="9477" width="6.140625" style="1" customWidth="1"/>
    <col min="9478" max="9478" width="6.5703125" style="1" customWidth="1"/>
    <col min="9479" max="9480" width="0" style="1" hidden="1" customWidth="1"/>
    <col min="9481" max="9481" width="6.5703125" style="1" customWidth="1"/>
    <col min="9482" max="9482" width="3.85546875" style="1" customWidth="1"/>
    <col min="9483" max="9483" width="47.140625" style="1" customWidth="1"/>
    <col min="9484" max="9484" width="6.28515625" style="1" customWidth="1"/>
    <col min="9485" max="9485" width="0" style="1" hidden="1" customWidth="1"/>
    <col min="9486" max="9486" width="6.7109375" style="1" customWidth="1"/>
    <col min="9487" max="9487" width="9.28515625" style="1" customWidth="1"/>
    <col min="9488" max="9488" width="7.7109375" style="1" customWidth="1"/>
    <col min="9489" max="9489" width="7.28515625" style="1" customWidth="1"/>
    <col min="9490" max="9490" width="6.42578125" style="1" customWidth="1"/>
    <col min="9491" max="9728" width="9.140625" style="1"/>
    <col min="9729" max="9729" width="3.5703125" style="1" customWidth="1"/>
    <col min="9730" max="9730" width="33.42578125" style="1" customWidth="1"/>
    <col min="9731" max="9731" width="5.42578125" style="1" customWidth="1"/>
    <col min="9732" max="9732" width="5.7109375" style="1" customWidth="1"/>
    <col min="9733" max="9733" width="6.140625" style="1" customWidth="1"/>
    <col min="9734" max="9734" width="6.5703125" style="1" customWidth="1"/>
    <col min="9735" max="9736" width="0" style="1" hidden="1" customWidth="1"/>
    <col min="9737" max="9737" width="6.5703125" style="1" customWidth="1"/>
    <col min="9738" max="9738" width="3.85546875" style="1" customWidth="1"/>
    <col min="9739" max="9739" width="47.140625" style="1" customWidth="1"/>
    <col min="9740" max="9740" width="6.28515625" style="1" customWidth="1"/>
    <col min="9741" max="9741" width="0" style="1" hidden="1" customWidth="1"/>
    <col min="9742" max="9742" width="6.7109375" style="1" customWidth="1"/>
    <col min="9743" max="9743" width="9.28515625" style="1" customWidth="1"/>
    <col min="9744" max="9744" width="7.7109375" style="1" customWidth="1"/>
    <col min="9745" max="9745" width="7.28515625" style="1" customWidth="1"/>
    <col min="9746" max="9746" width="6.42578125" style="1" customWidth="1"/>
    <col min="9747" max="9984" width="9.140625" style="1"/>
    <col min="9985" max="9985" width="3.5703125" style="1" customWidth="1"/>
    <col min="9986" max="9986" width="33.42578125" style="1" customWidth="1"/>
    <col min="9987" max="9987" width="5.42578125" style="1" customWidth="1"/>
    <col min="9988" max="9988" width="5.7109375" style="1" customWidth="1"/>
    <col min="9989" max="9989" width="6.140625" style="1" customWidth="1"/>
    <col min="9990" max="9990" width="6.5703125" style="1" customWidth="1"/>
    <col min="9991" max="9992" width="0" style="1" hidden="1" customWidth="1"/>
    <col min="9993" max="9993" width="6.5703125" style="1" customWidth="1"/>
    <col min="9994" max="9994" width="3.85546875" style="1" customWidth="1"/>
    <col min="9995" max="9995" width="47.140625" style="1" customWidth="1"/>
    <col min="9996" max="9996" width="6.28515625" style="1" customWidth="1"/>
    <col min="9997" max="9997" width="0" style="1" hidden="1" customWidth="1"/>
    <col min="9998" max="9998" width="6.7109375" style="1" customWidth="1"/>
    <col min="9999" max="9999" width="9.28515625" style="1" customWidth="1"/>
    <col min="10000" max="10000" width="7.7109375" style="1" customWidth="1"/>
    <col min="10001" max="10001" width="7.28515625" style="1" customWidth="1"/>
    <col min="10002" max="10002" width="6.42578125" style="1" customWidth="1"/>
    <col min="10003" max="10240" width="9.140625" style="1"/>
    <col min="10241" max="10241" width="3.5703125" style="1" customWidth="1"/>
    <col min="10242" max="10242" width="33.42578125" style="1" customWidth="1"/>
    <col min="10243" max="10243" width="5.42578125" style="1" customWidth="1"/>
    <col min="10244" max="10244" width="5.7109375" style="1" customWidth="1"/>
    <col min="10245" max="10245" width="6.140625" style="1" customWidth="1"/>
    <col min="10246" max="10246" width="6.5703125" style="1" customWidth="1"/>
    <col min="10247" max="10248" width="0" style="1" hidden="1" customWidth="1"/>
    <col min="10249" max="10249" width="6.5703125" style="1" customWidth="1"/>
    <col min="10250" max="10250" width="3.85546875" style="1" customWidth="1"/>
    <col min="10251" max="10251" width="47.140625" style="1" customWidth="1"/>
    <col min="10252" max="10252" width="6.28515625" style="1" customWidth="1"/>
    <col min="10253" max="10253" width="0" style="1" hidden="1" customWidth="1"/>
    <col min="10254" max="10254" width="6.7109375" style="1" customWidth="1"/>
    <col min="10255" max="10255" width="9.28515625" style="1" customWidth="1"/>
    <col min="10256" max="10256" width="7.7109375" style="1" customWidth="1"/>
    <col min="10257" max="10257" width="7.28515625" style="1" customWidth="1"/>
    <col min="10258" max="10258" width="6.42578125" style="1" customWidth="1"/>
    <col min="10259" max="10496" width="9.140625" style="1"/>
    <col min="10497" max="10497" width="3.5703125" style="1" customWidth="1"/>
    <col min="10498" max="10498" width="33.42578125" style="1" customWidth="1"/>
    <col min="10499" max="10499" width="5.42578125" style="1" customWidth="1"/>
    <col min="10500" max="10500" width="5.7109375" style="1" customWidth="1"/>
    <col min="10501" max="10501" width="6.140625" style="1" customWidth="1"/>
    <col min="10502" max="10502" width="6.5703125" style="1" customWidth="1"/>
    <col min="10503" max="10504" width="0" style="1" hidden="1" customWidth="1"/>
    <col min="10505" max="10505" width="6.5703125" style="1" customWidth="1"/>
    <col min="10506" max="10506" width="3.85546875" style="1" customWidth="1"/>
    <col min="10507" max="10507" width="47.140625" style="1" customWidth="1"/>
    <col min="10508" max="10508" width="6.28515625" style="1" customWidth="1"/>
    <col min="10509" max="10509" width="0" style="1" hidden="1" customWidth="1"/>
    <col min="10510" max="10510" width="6.7109375" style="1" customWidth="1"/>
    <col min="10511" max="10511" width="9.28515625" style="1" customWidth="1"/>
    <col min="10512" max="10512" width="7.7109375" style="1" customWidth="1"/>
    <col min="10513" max="10513" width="7.28515625" style="1" customWidth="1"/>
    <col min="10514" max="10514" width="6.42578125" style="1" customWidth="1"/>
    <col min="10515" max="10752" width="9.140625" style="1"/>
    <col min="10753" max="10753" width="3.5703125" style="1" customWidth="1"/>
    <col min="10754" max="10754" width="33.42578125" style="1" customWidth="1"/>
    <col min="10755" max="10755" width="5.42578125" style="1" customWidth="1"/>
    <col min="10756" max="10756" width="5.7109375" style="1" customWidth="1"/>
    <col min="10757" max="10757" width="6.140625" style="1" customWidth="1"/>
    <col min="10758" max="10758" width="6.5703125" style="1" customWidth="1"/>
    <col min="10759" max="10760" width="0" style="1" hidden="1" customWidth="1"/>
    <col min="10761" max="10761" width="6.5703125" style="1" customWidth="1"/>
    <col min="10762" max="10762" width="3.85546875" style="1" customWidth="1"/>
    <col min="10763" max="10763" width="47.140625" style="1" customWidth="1"/>
    <col min="10764" max="10764" width="6.28515625" style="1" customWidth="1"/>
    <col min="10765" max="10765" width="0" style="1" hidden="1" customWidth="1"/>
    <col min="10766" max="10766" width="6.7109375" style="1" customWidth="1"/>
    <col min="10767" max="10767" width="9.28515625" style="1" customWidth="1"/>
    <col min="10768" max="10768" width="7.7109375" style="1" customWidth="1"/>
    <col min="10769" max="10769" width="7.28515625" style="1" customWidth="1"/>
    <col min="10770" max="10770" width="6.42578125" style="1" customWidth="1"/>
    <col min="10771" max="11008" width="9.140625" style="1"/>
    <col min="11009" max="11009" width="3.5703125" style="1" customWidth="1"/>
    <col min="11010" max="11010" width="33.42578125" style="1" customWidth="1"/>
    <col min="11011" max="11011" width="5.42578125" style="1" customWidth="1"/>
    <col min="11012" max="11012" width="5.7109375" style="1" customWidth="1"/>
    <col min="11013" max="11013" width="6.140625" style="1" customWidth="1"/>
    <col min="11014" max="11014" width="6.5703125" style="1" customWidth="1"/>
    <col min="11015" max="11016" width="0" style="1" hidden="1" customWidth="1"/>
    <col min="11017" max="11017" width="6.5703125" style="1" customWidth="1"/>
    <col min="11018" max="11018" width="3.85546875" style="1" customWidth="1"/>
    <col min="11019" max="11019" width="47.140625" style="1" customWidth="1"/>
    <col min="11020" max="11020" width="6.28515625" style="1" customWidth="1"/>
    <col min="11021" max="11021" width="0" style="1" hidden="1" customWidth="1"/>
    <col min="11022" max="11022" width="6.7109375" style="1" customWidth="1"/>
    <col min="11023" max="11023" width="9.28515625" style="1" customWidth="1"/>
    <col min="11024" max="11024" width="7.7109375" style="1" customWidth="1"/>
    <col min="11025" max="11025" width="7.28515625" style="1" customWidth="1"/>
    <col min="11026" max="11026" width="6.42578125" style="1" customWidth="1"/>
    <col min="11027" max="11264" width="9.140625" style="1"/>
    <col min="11265" max="11265" width="3.5703125" style="1" customWidth="1"/>
    <col min="11266" max="11266" width="33.42578125" style="1" customWidth="1"/>
    <col min="11267" max="11267" width="5.42578125" style="1" customWidth="1"/>
    <col min="11268" max="11268" width="5.7109375" style="1" customWidth="1"/>
    <col min="11269" max="11269" width="6.140625" style="1" customWidth="1"/>
    <col min="11270" max="11270" width="6.5703125" style="1" customWidth="1"/>
    <col min="11271" max="11272" width="0" style="1" hidden="1" customWidth="1"/>
    <col min="11273" max="11273" width="6.5703125" style="1" customWidth="1"/>
    <col min="11274" max="11274" width="3.85546875" style="1" customWidth="1"/>
    <col min="11275" max="11275" width="47.140625" style="1" customWidth="1"/>
    <col min="11276" max="11276" width="6.28515625" style="1" customWidth="1"/>
    <col min="11277" max="11277" width="0" style="1" hidden="1" customWidth="1"/>
    <col min="11278" max="11278" width="6.7109375" style="1" customWidth="1"/>
    <col min="11279" max="11279" width="9.28515625" style="1" customWidth="1"/>
    <col min="11280" max="11280" width="7.7109375" style="1" customWidth="1"/>
    <col min="11281" max="11281" width="7.28515625" style="1" customWidth="1"/>
    <col min="11282" max="11282" width="6.42578125" style="1" customWidth="1"/>
    <col min="11283" max="11520" width="9.140625" style="1"/>
    <col min="11521" max="11521" width="3.5703125" style="1" customWidth="1"/>
    <col min="11522" max="11522" width="33.42578125" style="1" customWidth="1"/>
    <col min="11523" max="11523" width="5.42578125" style="1" customWidth="1"/>
    <col min="11524" max="11524" width="5.7109375" style="1" customWidth="1"/>
    <col min="11525" max="11525" width="6.140625" style="1" customWidth="1"/>
    <col min="11526" max="11526" width="6.5703125" style="1" customWidth="1"/>
    <col min="11527" max="11528" width="0" style="1" hidden="1" customWidth="1"/>
    <col min="11529" max="11529" width="6.5703125" style="1" customWidth="1"/>
    <col min="11530" max="11530" width="3.85546875" style="1" customWidth="1"/>
    <col min="11531" max="11531" width="47.140625" style="1" customWidth="1"/>
    <col min="11532" max="11532" width="6.28515625" style="1" customWidth="1"/>
    <col min="11533" max="11533" width="0" style="1" hidden="1" customWidth="1"/>
    <col min="11534" max="11534" width="6.7109375" style="1" customWidth="1"/>
    <col min="11535" max="11535" width="9.28515625" style="1" customWidth="1"/>
    <col min="11536" max="11536" width="7.7109375" style="1" customWidth="1"/>
    <col min="11537" max="11537" width="7.28515625" style="1" customWidth="1"/>
    <col min="11538" max="11538" width="6.42578125" style="1" customWidth="1"/>
    <col min="11539" max="11776" width="9.140625" style="1"/>
    <col min="11777" max="11777" width="3.5703125" style="1" customWidth="1"/>
    <col min="11778" max="11778" width="33.42578125" style="1" customWidth="1"/>
    <col min="11779" max="11779" width="5.42578125" style="1" customWidth="1"/>
    <col min="11780" max="11780" width="5.7109375" style="1" customWidth="1"/>
    <col min="11781" max="11781" width="6.140625" style="1" customWidth="1"/>
    <col min="11782" max="11782" width="6.5703125" style="1" customWidth="1"/>
    <col min="11783" max="11784" width="0" style="1" hidden="1" customWidth="1"/>
    <col min="11785" max="11785" width="6.5703125" style="1" customWidth="1"/>
    <col min="11786" max="11786" width="3.85546875" style="1" customWidth="1"/>
    <col min="11787" max="11787" width="47.140625" style="1" customWidth="1"/>
    <col min="11788" max="11788" width="6.28515625" style="1" customWidth="1"/>
    <col min="11789" max="11789" width="0" style="1" hidden="1" customWidth="1"/>
    <col min="11790" max="11790" width="6.7109375" style="1" customWidth="1"/>
    <col min="11791" max="11791" width="9.28515625" style="1" customWidth="1"/>
    <col min="11792" max="11792" width="7.7109375" style="1" customWidth="1"/>
    <col min="11793" max="11793" width="7.28515625" style="1" customWidth="1"/>
    <col min="11794" max="11794" width="6.42578125" style="1" customWidth="1"/>
    <col min="11795" max="12032" width="9.140625" style="1"/>
    <col min="12033" max="12033" width="3.5703125" style="1" customWidth="1"/>
    <col min="12034" max="12034" width="33.42578125" style="1" customWidth="1"/>
    <col min="12035" max="12035" width="5.42578125" style="1" customWidth="1"/>
    <col min="12036" max="12036" width="5.7109375" style="1" customWidth="1"/>
    <col min="12037" max="12037" width="6.140625" style="1" customWidth="1"/>
    <col min="12038" max="12038" width="6.5703125" style="1" customWidth="1"/>
    <col min="12039" max="12040" width="0" style="1" hidden="1" customWidth="1"/>
    <col min="12041" max="12041" width="6.5703125" style="1" customWidth="1"/>
    <col min="12042" max="12042" width="3.85546875" style="1" customWidth="1"/>
    <col min="12043" max="12043" width="47.140625" style="1" customWidth="1"/>
    <col min="12044" max="12044" width="6.28515625" style="1" customWidth="1"/>
    <col min="12045" max="12045" width="0" style="1" hidden="1" customWidth="1"/>
    <col min="12046" max="12046" width="6.7109375" style="1" customWidth="1"/>
    <col min="12047" max="12047" width="9.28515625" style="1" customWidth="1"/>
    <col min="12048" max="12048" width="7.7109375" style="1" customWidth="1"/>
    <col min="12049" max="12049" width="7.28515625" style="1" customWidth="1"/>
    <col min="12050" max="12050" width="6.42578125" style="1" customWidth="1"/>
    <col min="12051" max="12288" width="9.140625" style="1"/>
    <col min="12289" max="12289" width="3.5703125" style="1" customWidth="1"/>
    <col min="12290" max="12290" width="33.42578125" style="1" customWidth="1"/>
    <col min="12291" max="12291" width="5.42578125" style="1" customWidth="1"/>
    <col min="12292" max="12292" width="5.7109375" style="1" customWidth="1"/>
    <col min="12293" max="12293" width="6.140625" style="1" customWidth="1"/>
    <col min="12294" max="12294" width="6.5703125" style="1" customWidth="1"/>
    <col min="12295" max="12296" width="0" style="1" hidden="1" customWidth="1"/>
    <col min="12297" max="12297" width="6.5703125" style="1" customWidth="1"/>
    <col min="12298" max="12298" width="3.85546875" style="1" customWidth="1"/>
    <col min="12299" max="12299" width="47.140625" style="1" customWidth="1"/>
    <col min="12300" max="12300" width="6.28515625" style="1" customWidth="1"/>
    <col min="12301" max="12301" width="0" style="1" hidden="1" customWidth="1"/>
    <col min="12302" max="12302" width="6.7109375" style="1" customWidth="1"/>
    <col min="12303" max="12303" width="9.28515625" style="1" customWidth="1"/>
    <col min="12304" max="12304" width="7.7109375" style="1" customWidth="1"/>
    <col min="12305" max="12305" width="7.28515625" style="1" customWidth="1"/>
    <col min="12306" max="12306" width="6.42578125" style="1" customWidth="1"/>
    <col min="12307" max="12544" width="9.140625" style="1"/>
    <col min="12545" max="12545" width="3.5703125" style="1" customWidth="1"/>
    <col min="12546" max="12546" width="33.42578125" style="1" customWidth="1"/>
    <col min="12547" max="12547" width="5.42578125" style="1" customWidth="1"/>
    <col min="12548" max="12548" width="5.7109375" style="1" customWidth="1"/>
    <col min="12549" max="12549" width="6.140625" style="1" customWidth="1"/>
    <col min="12550" max="12550" width="6.5703125" style="1" customWidth="1"/>
    <col min="12551" max="12552" width="0" style="1" hidden="1" customWidth="1"/>
    <col min="12553" max="12553" width="6.5703125" style="1" customWidth="1"/>
    <col min="12554" max="12554" width="3.85546875" style="1" customWidth="1"/>
    <col min="12555" max="12555" width="47.140625" style="1" customWidth="1"/>
    <col min="12556" max="12556" width="6.28515625" style="1" customWidth="1"/>
    <col min="12557" max="12557" width="0" style="1" hidden="1" customWidth="1"/>
    <col min="12558" max="12558" width="6.7109375" style="1" customWidth="1"/>
    <col min="12559" max="12559" width="9.28515625" style="1" customWidth="1"/>
    <col min="12560" max="12560" width="7.7109375" style="1" customWidth="1"/>
    <col min="12561" max="12561" width="7.28515625" style="1" customWidth="1"/>
    <col min="12562" max="12562" width="6.42578125" style="1" customWidth="1"/>
    <col min="12563" max="12800" width="9.140625" style="1"/>
    <col min="12801" max="12801" width="3.5703125" style="1" customWidth="1"/>
    <col min="12802" max="12802" width="33.42578125" style="1" customWidth="1"/>
    <col min="12803" max="12803" width="5.42578125" style="1" customWidth="1"/>
    <col min="12804" max="12804" width="5.7109375" style="1" customWidth="1"/>
    <col min="12805" max="12805" width="6.140625" style="1" customWidth="1"/>
    <col min="12806" max="12806" width="6.5703125" style="1" customWidth="1"/>
    <col min="12807" max="12808" width="0" style="1" hidden="1" customWidth="1"/>
    <col min="12809" max="12809" width="6.5703125" style="1" customWidth="1"/>
    <col min="12810" max="12810" width="3.85546875" style="1" customWidth="1"/>
    <col min="12811" max="12811" width="47.140625" style="1" customWidth="1"/>
    <col min="12812" max="12812" width="6.28515625" style="1" customWidth="1"/>
    <col min="12813" max="12813" width="0" style="1" hidden="1" customWidth="1"/>
    <col min="12814" max="12814" width="6.7109375" style="1" customWidth="1"/>
    <col min="12815" max="12815" width="9.28515625" style="1" customWidth="1"/>
    <col min="12816" max="12816" width="7.7109375" style="1" customWidth="1"/>
    <col min="12817" max="12817" width="7.28515625" style="1" customWidth="1"/>
    <col min="12818" max="12818" width="6.42578125" style="1" customWidth="1"/>
    <col min="12819" max="13056" width="9.140625" style="1"/>
    <col min="13057" max="13057" width="3.5703125" style="1" customWidth="1"/>
    <col min="13058" max="13058" width="33.42578125" style="1" customWidth="1"/>
    <col min="13059" max="13059" width="5.42578125" style="1" customWidth="1"/>
    <col min="13060" max="13060" width="5.7109375" style="1" customWidth="1"/>
    <col min="13061" max="13061" width="6.140625" style="1" customWidth="1"/>
    <col min="13062" max="13062" width="6.5703125" style="1" customWidth="1"/>
    <col min="13063" max="13064" width="0" style="1" hidden="1" customWidth="1"/>
    <col min="13065" max="13065" width="6.5703125" style="1" customWidth="1"/>
    <col min="13066" max="13066" width="3.85546875" style="1" customWidth="1"/>
    <col min="13067" max="13067" width="47.140625" style="1" customWidth="1"/>
    <col min="13068" max="13068" width="6.28515625" style="1" customWidth="1"/>
    <col min="13069" max="13069" width="0" style="1" hidden="1" customWidth="1"/>
    <col min="13070" max="13070" width="6.7109375" style="1" customWidth="1"/>
    <col min="13071" max="13071" width="9.28515625" style="1" customWidth="1"/>
    <col min="13072" max="13072" width="7.7109375" style="1" customWidth="1"/>
    <col min="13073" max="13073" width="7.28515625" style="1" customWidth="1"/>
    <col min="13074" max="13074" width="6.42578125" style="1" customWidth="1"/>
    <col min="13075" max="13312" width="9.140625" style="1"/>
    <col min="13313" max="13313" width="3.5703125" style="1" customWidth="1"/>
    <col min="13314" max="13314" width="33.42578125" style="1" customWidth="1"/>
    <col min="13315" max="13315" width="5.42578125" style="1" customWidth="1"/>
    <col min="13316" max="13316" width="5.7109375" style="1" customWidth="1"/>
    <col min="13317" max="13317" width="6.140625" style="1" customWidth="1"/>
    <col min="13318" max="13318" width="6.5703125" style="1" customWidth="1"/>
    <col min="13319" max="13320" width="0" style="1" hidden="1" customWidth="1"/>
    <col min="13321" max="13321" width="6.5703125" style="1" customWidth="1"/>
    <col min="13322" max="13322" width="3.85546875" style="1" customWidth="1"/>
    <col min="13323" max="13323" width="47.140625" style="1" customWidth="1"/>
    <col min="13324" max="13324" width="6.28515625" style="1" customWidth="1"/>
    <col min="13325" max="13325" width="0" style="1" hidden="1" customWidth="1"/>
    <col min="13326" max="13326" width="6.7109375" style="1" customWidth="1"/>
    <col min="13327" max="13327" width="9.28515625" style="1" customWidth="1"/>
    <col min="13328" max="13328" width="7.7109375" style="1" customWidth="1"/>
    <col min="13329" max="13329" width="7.28515625" style="1" customWidth="1"/>
    <col min="13330" max="13330" width="6.42578125" style="1" customWidth="1"/>
    <col min="13331" max="13568" width="9.140625" style="1"/>
    <col min="13569" max="13569" width="3.5703125" style="1" customWidth="1"/>
    <col min="13570" max="13570" width="33.42578125" style="1" customWidth="1"/>
    <col min="13571" max="13571" width="5.42578125" style="1" customWidth="1"/>
    <col min="13572" max="13572" width="5.7109375" style="1" customWidth="1"/>
    <col min="13573" max="13573" width="6.140625" style="1" customWidth="1"/>
    <col min="13574" max="13574" width="6.5703125" style="1" customWidth="1"/>
    <col min="13575" max="13576" width="0" style="1" hidden="1" customWidth="1"/>
    <col min="13577" max="13577" width="6.5703125" style="1" customWidth="1"/>
    <col min="13578" max="13578" width="3.85546875" style="1" customWidth="1"/>
    <col min="13579" max="13579" width="47.140625" style="1" customWidth="1"/>
    <col min="13580" max="13580" width="6.28515625" style="1" customWidth="1"/>
    <col min="13581" max="13581" width="0" style="1" hidden="1" customWidth="1"/>
    <col min="13582" max="13582" width="6.7109375" style="1" customWidth="1"/>
    <col min="13583" max="13583" width="9.28515625" style="1" customWidth="1"/>
    <col min="13584" max="13584" width="7.7109375" style="1" customWidth="1"/>
    <col min="13585" max="13585" width="7.28515625" style="1" customWidth="1"/>
    <col min="13586" max="13586" width="6.42578125" style="1" customWidth="1"/>
    <col min="13587" max="13824" width="9.140625" style="1"/>
    <col min="13825" max="13825" width="3.5703125" style="1" customWidth="1"/>
    <col min="13826" max="13826" width="33.42578125" style="1" customWidth="1"/>
    <col min="13827" max="13827" width="5.42578125" style="1" customWidth="1"/>
    <col min="13828" max="13828" width="5.7109375" style="1" customWidth="1"/>
    <col min="13829" max="13829" width="6.140625" style="1" customWidth="1"/>
    <col min="13830" max="13830" width="6.5703125" style="1" customWidth="1"/>
    <col min="13831" max="13832" width="0" style="1" hidden="1" customWidth="1"/>
    <col min="13833" max="13833" width="6.5703125" style="1" customWidth="1"/>
    <col min="13834" max="13834" width="3.85546875" style="1" customWidth="1"/>
    <col min="13835" max="13835" width="47.140625" style="1" customWidth="1"/>
    <col min="13836" max="13836" width="6.28515625" style="1" customWidth="1"/>
    <col min="13837" max="13837" width="0" style="1" hidden="1" customWidth="1"/>
    <col min="13838" max="13838" width="6.7109375" style="1" customWidth="1"/>
    <col min="13839" max="13839" width="9.28515625" style="1" customWidth="1"/>
    <col min="13840" max="13840" width="7.7109375" style="1" customWidth="1"/>
    <col min="13841" max="13841" width="7.28515625" style="1" customWidth="1"/>
    <col min="13842" max="13842" width="6.42578125" style="1" customWidth="1"/>
    <col min="13843" max="14080" width="9.140625" style="1"/>
    <col min="14081" max="14081" width="3.5703125" style="1" customWidth="1"/>
    <col min="14082" max="14082" width="33.42578125" style="1" customWidth="1"/>
    <col min="14083" max="14083" width="5.42578125" style="1" customWidth="1"/>
    <col min="14084" max="14084" width="5.7109375" style="1" customWidth="1"/>
    <col min="14085" max="14085" width="6.140625" style="1" customWidth="1"/>
    <col min="14086" max="14086" width="6.5703125" style="1" customWidth="1"/>
    <col min="14087" max="14088" width="0" style="1" hidden="1" customWidth="1"/>
    <col min="14089" max="14089" width="6.5703125" style="1" customWidth="1"/>
    <col min="14090" max="14090" width="3.85546875" style="1" customWidth="1"/>
    <col min="14091" max="14091" width="47.140625" style="1" customWidth="1"/>
    <col min="14092" max="14092" width="6.28515625" style="1" customWidth="1"/>
    <col min="14093" max="14093" width="0" style="1" hidden="1" customWidth="1"/>
    <col min="14094" max="14094" width="6.7109375" style="1" customWidth="1"/>
    <col min="14095" max="14095" width="9.28515625" style="1" customWidth="1"/>
    <col min="14096" max="14096" width="7.7109375" style="1" customWidth="1"/>
    <col min="14097" max="14097" width="7.28515625" style="1" customWidth="1"/>
    <col min="14098" max="14098" width="6.42578125" style="1" customWidth="1"/>
    <col min="14099" max="14336" width="9.140625" style="1"/>
    <col min="14337" max="14337" width="3.5703125" style="1" customWidth="1"/>
    <col min="14338" max="14338" width="33.42578125" style="1" customWidth="1"/>
    <col min="14339" max="14339" width="5.42578125" style="1" customWidth="1"/>
    <col min="14340" max="14340" width="5.7109375" style="1" customWidth="1"/>
    <col min="14341" max="14341" width="6.140625" style="1" customWidth="1"/>
    <col min="14342" max="14342" width="6.5703125" style="1" customWidth="1"/>
    <col min="14343" max="14344" width="0" style="1" hidden="1" customWidth="1"/>
    <col min="14345" max="14345" width="6.5703125" style="1" customWidth="1"/>
    <col min="14346" max="14346" width="3.85546875" style="1" customWidth="1"/>
    <col min="14347" max="14347" width="47.140625" style="1" customWidth="1"/>
    <col min="14348" max="14348" width="6.28515625" style="1" customWidth="1"/>
    <col min="14349" max="14349" width="0" style="1" hidden="1" customWidth="1"/>
    <col min="14350" max="14350" width="6.7109375" style="1" customWidth="1"/>
    <col min="14351" max="14351" width="9.28515625" style="1" customWidth="1"/>
    <col min="14352" max="14352" width="7.7109375" style="1" customWidth="1"/>
    <col min="14353" max="14353" width="7.28515625" style="1" customWidth="1"/>
    <col min="14354" max="14354" width="6.42578125" style="1" customWidth="1"/>
    <col min="14355" max="14592" width="9.140625" style="1"/>
    <col min="14593" max="14593" width="3.5703125" style="1" customWidth="1"/>
    <col min="14594" max="14594" width="33.42578125" style="1" customWidth="1"/>
    <col min="14595" max="14595" width="5.42578125" style="1" customWidth="1"/>
    <col min="14596" max="14596" width="5.7109375" style="1" customWidth="1"/>
    <col min="14597" max="14597" width="6.140625" style="1" customWidth="1"/>
    <col min="14598" max="14598" width="6.5703125" style="1" customWidth="1"/>
    <col min="14599" max="14600" width="0" style="1" hidden="1" customWidth="1"/>
    <col min="14601" max="14601" width="6.5703125" style="1" customWidth="1"/>
    <col min="14602" max="14602" width="3.85546875" style="1" customWidth="1"/>
    <col min="14603" max="14603" width="47.140625" style="1" customWidth="1"/>
    <col min="14604" max="14604" width="6.28515625" style="1" customWidth="1"/>
    <col min="14605" max="14605" width="0" style="1" hidden="1" customWidth="1"/>
    <col min="14606" max="14606" width="6.7109375" style="1" customWidth="1"/>
    <col min="14607" max="14607" width="9.28515625" style="1" customWidth="1"/>
    <col min="14608" max="14608" width="7.7109375" style="1" customWidth="1"/>
    <col min="14609" max="14609" width="7.28515625" style="1" customWidth="1"/>
    <col min="14610" max="14610" width="6.42578125" style="1" customWidth="1"/>
    <col min="14611" max="14848" width="9.140625" style="1"/>
    <col min="14849" max="14849" width="3.5703125" style="1" customWidth="1"/>
    <col min="14850" max="14850" width="33.42578125" style="1" customWidth="1"/>
    <col min="14851" max="14851" width="5.42578125" style="1" customWidth="1"/>
    <col min="14852" max="14852" width="5.7109375" style="1" customWidth="1"/>
    <col min="14853" max="14853" width="6.140625" style="1" customWidth="1"/>
    <col min="14854" max="14854" width="6.5703125" style="1" customWidth="1"/>
    <col min="14855" max="14856" width="0" style="1" hidden="1" customWidth="1"/>
    <col min="14857" max="14857" width="6.5703125" style="1" customWidth="1"/>
    <col min="14858" max="14858" width="3.85546875" style="1" customWidth="1"/>
    <col min="14859" max="14859" width="47.140625" style="1" customWidth="1"/>
    <col min="14860" max="14860" width="6.28515625" style="1" customWidth="1"/>
    <col min="14861" max="14861" width="0" style="1" hidden="1" customWidth="1"/>
    <col min="14862" max="14862" width="6.7109375" style="1" customWidth="1"/>
    <col min="14863" max="14863" width="9.28515625" style="1" customWidth="1"/>
    <col min="14864" max="14864" width="7.7109375" style="1" customWidth="1"/>
    <col min="14865" max="14865" width="7.28515625" style="1" customWidth="1"/>
    <col min="14866" max="14866" width="6.42578125" style="1" customWidth="1"/>
    <col min="14867" max="15104" width="9.140625" style="1"/>
    <col min="15105" max="15105" width="3.5703125" style="1" customWidth="1"/>
    <col min="15106" max="15106" width="33.42578125" style="1" customWidth="1"/>
    <col min="15107" max="15107" width="5.42578125" style="1" customWidth="1"/>
    <col min="15108" max="15108" width="5.7109375" style="1" customWidth="1"/>
    <col min="15109" max="15109" width="6.140625" style="1" customWidth="1"/>
    <col min="15110" max="15110" width="6.5703125" style="1" customWidth="1"/>
    <col min="15111" max="15112" width="0" style="1" hidden="1" customWidth="1"/>
    <col min="15113" max="15113" width="6.5703125" style="1" customWidth="1"/>
    <col min="15114" max="15114" width="3.85546875" style="1" customWidth="1"/>
    <col min="15115" max="15115" width="47.140625" style="1" customWidth="1"/>
    <col min="15116" max="15116" width="6.28515625" style="1" customWidth="1"/>
    <col min="15117" max="15117" width="0" style="1" hidden="1" customWidth="1"/>
    <col min="15118" max="15118" width="6.7109375" style="1" customWidth="1"/>
    <col min="15119" max="15119" width="9.28515625" style="1" customWidth="1"/>
    <col min="15120" max="15120" width="7.7109375" style="1" customWidth="1"/>
    <col min="15121" max="15121" width="7.28515625" style="1" customWidth="1"/>
    <col min="15122" max="15122" width="6.42578125" style="1" customWidth="1"/>
    <col min="15123" max="15360" width="9.140625" style="1"/>
    <col min="15361" max="15361" width="3.5703125" style="1" customWidth="1"/>
    <col min="15362" max="15362" width="33.42578125" style="1" customWidth="1"/>
    <col min="15363" max="15363" width="5.42578125" style="1" customWidth="1"/>
    <col min="15364" max="15364" width="5.7109375" style="1" customWidth="1"/>
    <col min="15365" max="15365" width="6.140625" style="1" customWidth="1"/>
    <col min="15366" max="15366" width="6.5703125" style="1" customWidth="1"/>
    <col min="15367" max="15368" width="0" style="1" hidden="1" customWidth="1"/>
    <col min="15369" max="15369" width="6.5703125" style="1" customWidth="1"/>
    <col min="15370" max="15370" width="3.85546875" style="1" customWidth="1"/>
    <col min="15371" max="15371" width="47.140625" style="1" customWidth="1"/>
    <col min="15372" max="15372" width="6.28515625" style="1" customWidth="1"/>
    <col min="15373" max="15373" width="0" style="1" hidden="1" customWidth="1"/>
    <col min="15374" max="15374" width="6.7109375" style="1" customWidth="1"/>
    <col min="15375" max="15375" width="9.28515625" style="1" customWidth="1"/>
    <col min="15376" max="15376" width="7.7109375" style="1" customWidth="1"/>
    <col min="15377" max="15377" width="7.28515625" style="1" customWidth="1"/>
    <col min="15378" max="15378" width="6.42578125" style="1" customWidth="1"/>
    <col min="15379" max="15616" width="9.140625" style="1"/>
    <col min="15617" max="15617" width="3.5703125" style="1" customWidth="1"/>
    <col min="15618" max="15618" width="33.42578125" style="1" customWidth="1"/>
    <col min="15619" max="15619" width="5.42578125" style="1" customWidth="1"/>
    <col min="15620" max="15620" width="5.7109375" style="1" customWidth="1"/>
    <col min="15621" max="15621" width="6.140625" style="1" customWidth="1"/>
    <col min="15622" max="15622" width="6.5703125" style="1" customWidth="1"/>
    <col min="15623" max="15624" width="0" style="1" hidden="1" customWidth="1"/>
    <col min="15625" max="15625" width="6.5703125" style="1" customWidth="1"/>
    <col min="15626" max="15626" width="3.85546875" style="1" customWidth="1"/>
    <col min="15627" max="15627" width="47.140625" style="1" customWidth="1"/>
    <col min="15628" max="15628" width="6.28515625" style="1" customWidth="1"/>
    <col min="15629" max="15629" width="0" style="1" hidden="1" customWidth="1"/>
    <col min="15630" max="15630" width="6.7109375" style="1" customWidth="1"/>
    <col min="15631" max="15631" width="9.28515625" style="1" customWidth="1"/>
    <col min="15632" max="15632" width="7.7109375" style="1" customWidth="1"/>
    <col min="15633" max="15633" width="7.28515625" style="1" customWidth="1"/>
    <col min="15634" max="15634" width="6.42578125" style="1" customWidth="1"/>
    <col min="15635" max="15872" width="9.140625" style="1"/>
    <col min="15873" max="15873" width="3.5703125" style="1" customWidth="1"/>
    <col min="15874" max="15874" width="33.42578125" style="1" customWidth="1"/>
    <col min="15875" max="15875" width="5.42578125" style="1" customWidth="1"/>
    <col min="15876" max="15876" width="5.7109375" style="1" customWidth="1"/>
    <col min="15877" max="15877" width="6.140625" style="1" customWidth="1"/>
    <col min="15878" max="15878" width="6.5703125" style="1" customWidth="1"/>
    <col min="15879" max="15880" width="0" style="1" hidden="1" customWidth="1"/>
    <col min="15881" max="15881" width="6.5703125" style="1" customWidth="1"/>
    <col min="15882" max="15882" width="3.85546875" style="1" customWidth="1"/>
    <col min="15883" max="15883" width="47.140625" style="1" customWidth="1"/>
    <col min="15884" max="15884" width="6.28515625" style="1" customWidth="1"/>
    <col min="15885" max="15885" width="0" style="1" hidden="1" customWidth="1"/>
    <col min="15886" max="15886" width="6.7109375" style="1" customWidth="1"/>
    <col min="15887" max="15887" width="9.28515625" style="1" customWidth="1"/>
    <col min="15888" max="15888" width="7.7109375" style="1" customWidth="1"/>
    <col min="15889" max="15889" width="7.28515625" style="1" customWidth="1"/>
    <col min="15890" max="15890" width="6.42578125" style="1" customWidth="1"/>
    <col min="15891" max="16128" width="9.140625" style="1"/>
    <col min="16129" max="16129" width="3.5703125" style="1" customWidth="1"/>
    <col min="16130" max="16130" width="33.42578125" style="1" customWidth="1"/>
    <col min="16131" max="16131" width="5.42578125" style="1" customWidth="1"/>
    <col min="16132" max="16132" width="5.7109375" style="1" customWidth="1"/>
    <col min="16133" max="16133" width="6.140625" style="1" customWidth="1"/>
    <col min="16134" max="16134" width="6.5703125" style="1" customWidth="1"/>
    <col min="16135" max="16136" width="0" style="1" hidden="1" customWidth="1"/>
    <col min="16137" max="16137" width="6.5703125" style="1" customWidth="1"/>
    <col min="16138" max="16138" width="3.85546875" style="1" customWidth="1"/>
    <col min="16139" max="16139" width="47.140625" style="1" customWidth="1"/>
    <col min="16140" max="16140" width="6.28515625" style="1" customWidth="1"/>
    <col min="16141" max="16141" width="0" style="1" hidden="1" customWidth="1"/>
    <col min="16142" max="16142" width="6.7109375" style="1" customWidth="1"/>
    <col min="16143" max="16143" width="9.28515625" style="1" customWidth="1"/>
    <col min="16144" max="16144" width="7.7109375" style="1" customWidth="1"/>
    <col min="16145" max="16145" width="7.28515625" style="1" customWidth="1"/>
    <col min="16146" max="16146" width="6.42578125" style="1" customWidth="1"/>
    <col min="16147" max="16384" width="9.140625" style="1"/>
  </cols>
  <sheetData>
    <row r="1" spans="1:18">
      <c r="Q1" s="2" t="s">
        <v>0</v>
      </c>
    </row>
    <row r="2" spans="1:18" s="4" customFormat="1" ht="16.5" customHeight="1">
      <c r="A2" s="110" t="s">
        <v>75</v>
      </c>
      <c r="C2" s="104"/>
      <c r="D2" s="106"/>
      <c r="E2" s="213"/>
      <c r="F2" s="106"/>
      <c r="G2" s="111"/>
      <c r="H2" s="106"/>
      <c r="I2" s="106"/>
      <c r="J2" s="5" t="s">
        <v>99</v>
      </c>
      <c r="L2" s="206"/>
      <c r="M2" s="78"/>
      <c r="N2" s="78"/>
      <c r="O2" s="101"/>
      <c r="P2" s="104"/>
    </row>
    <row r="3" spans="1:18" s="4" customFormat="1" ht="15">
      <c r="A3" s="6" t="s">
        <v>76</v>
      </c>
      <c r="B3" s="6"/>
      <c r="C3" s="233"/>
      <c r="D3" s="48"/>
      <c r="E3" s="125"/>
      <c r="F3" s="48"/>
      <c r="G3" s="111"/>
      <c r="H3" s="100"/>
      <c r="I3" s="100"/>
      <c r="J3" s="7"/>
      <c r="K3" s="7"/>
      <c r="L3" s="204"/>
      <c r="M3" s="79"/>
      <c r="N3" s="79"/>
      <c r="O3" s="226"/>
      <c r="P3" s="206"/>
      <c r="Q3" s="9"/>
    </row>
    <row r="4" spans="1:18" s="4" customFormat="1" ht="15">
      <c r="A4" s="6" t="s">
        <v>95</v>
      </c>
      <c r="C4" s="104"/>
      <c r="D4" s="106"/>
      <c r="E4" s="214"/>
      <c r="F4" s="106"/>
      <c r="G4" s="182"/>
      <c r="H4" s="101"/>
      <c r="I4" s="101"/>
      <c r="J4" s="11"/>
      <c r="K4" s="11"/>
      <c r="L4" s="205"/>
      <c r="M4" s="112"/>
      <c r="N4" s="112"/>
      <c r="O4" s="101"/>
      <c r="P4" s="104"/>
      <c r="Q4" s="113"/>
    </row>
    <row r="5" spans="1:18" ht="12" customHeight="1">
      <c r="A5" s="106"/>
      <c r="B5" s="4"/>
      <c r="C5" s="104"/>
      <c r="D5" s="106"/>
      <c r="E5" s="213"/>
      <c r="F5" s="106"/>
      <c r="G5" s="182"/>
      <c r="H5" s="101"/>
      <c r="I5" s="101"/>
      <c r="J5" s="11"/>
      <c r="K5" s="11"/>
      <c r="L5" s="206"/>
      <c r="M5" s="81"/>
      <c r="N5" s="81"/>
      <c r="O5" s="227"/>
      <c r="P5" s="234"/>
      <c r="Q5" s="13" t="s">
        <v>1</v>
      </c>
    </row>
    <row r="6" spans="1:18" ht="18" customHeight="1">
      <c r="A6" s="282" t="s">
        <v>114</v>
      </c>
      <c r="B6" s="282"/>
      <c r="C6" s="282"/>
      <c r="D6" s="282"/>
      <c r="E6" s="282"/>
      <c r="F6" s="282"/>
      <c r="G6" s="282"/>
      <c r="H6" s="282"/>
      <c r="I6" s="282"/>
      <c r="J6" s="282" t="s">
        <v>100</v>
      </c>
      <c r="K6" s="282"/>
      <c r="L6" s="282"/>
      <c r="M6" s="282"/>
      <c r="N6" s="282"/>
      <c r="O6" s="282"/>
      <c r="P6" s="282"/>
      <c r="Q6" s="282"/>
      <c r="R6" s="14"/>
    </row>
    <row r="7" spans="1:18" ht="15" customHeight="1">
      <c r="A7" s="280" t="s">
        <v>2</v>
      </c>
      <c r="B7" s="280" t="s">
        <v>3</v>
      </c>
      <c r="C7" s="280" t="s">
        <v>4</v>
      </c>
      <c r="D7" s="280"/>
      <c r="E7" s="280"/>
      <c r="F7" s="280"/>
      <c r="G7" s="280"/>
      <c r="H7" s="280" t="s">
        <v>5</v>
      </c>
      <c r="I7" s="280" t="s">
        <v>6</v>
      </c>
      <c r="J7" s="280" t="s">
        <v>2</v>
      </c>
      <c r="K7" s="280" t="s">
        <v>3</v>
      </c>
      <c r="L7" s="280" t="s">
        <v>4</v>
      </c>
      <c r="M7" s="280"/>
      <c r="N7" s="280"/>
      <c r="O7" s="280"/>
      <c r="P7" s="280"/>
      <c r="Q7" s="280" t="s">
        <v>66</v>
      </c>
    </row>
    <row r="8" spans="1:18" ht="59.25" customHeight="1">
      <c r="A8" s="280"/>
      <c r="B8" s="280"/>
      <c r="C8" s="159" t="s">
        <v>69</v>
      </c>
      <c r="D8" s="108" t="s">
        <v>77</v>
      </c>
      <c r="E8" s="130" t="s">
        <v>8</v>
      </c>
      <c r="F8" s="108" t="s">
        <v>49</v>
      </c>
      <c r="G8" s="159" t="s">
        <v>59</v>
      </c>
      <c r="H8" s="280"/>
      <c r="I8" s="280"/>
      <c r="J8" s="280"/>
      <c r="K8" s="280"/>
      <c r="L8" s="159" t="s">
        <v>69</v>
      </c>
      <c r="M8" s="108" t="s">
        <v>77</v>
      </c>
      <c r="N8" s="131" t="s">
        <v>8</v>
      </c>
      <c r="O8" s="108" t="s">
        <v>68</v>
      </c>
      <c r="P8" s="159" t="s">
        <v>59</v>
      </c>
      <c r="Q8" s="280"/>
      <c r="R8" s="17"/>
    </row>
    <row r="9" spans="1:18">
      <c r="A9" s="18" t="s">
        <v>9</v>
      </c>
      <c r="B9" s="18" t="s">
        <v>10</v>
      </c>
      <c r="C9" s="114" t="s">
        <v>11</v>
      </c>
      <c r="D9" s="18" t="s">
        <v>12</v>
      </c>
      <c r="E9" s="115" t="s">
        <v>13</v>
      </c>
      <c r="F9" s="18" t="s">
        <v>14</v>
      </c>
      <c r="G9" s="114" t="s">
        <v>15</v>
      </c>
      <c r="H9" s="18" t="s">
        <v>16</v>
      </c>
      <c r="I9" s="18" t="s">
        <v>17</v>
      </c>
      <c r="J9" s="18" t="s">
        <v>18</v>
      </c>
      <c r="K9" s="18" t="s">
        <v>19</v>
      </c>
      <c r="L9" s="183" t="s">
        <v>20</v>
      </c>
      <c r="M9" s="83" t="s">
        <v>21</v>
      </c>
      <c r="N9" s="83" t="s">
        <v>22</v>
      </c>
      <c r="O9" s="18" t="s">
        <v>23</v>
      </c>
      <c r="P9" s="114" t="s">
        <v>78</v>
      </c>
      <c r="Q9" s="18" t="s">
        <v>79</v>
      </c>
      <c r="R9" s="17"/>
    </row>
    <row r="10" spans="1:18" s="10" customFormat="1" ht="14.25">
      <c r="A10" s="132" t="s">
        <v>70</v>
      </c>
      <c r="B10" s="132" t="s">
        <v>80</v>
      </c>
      <c r="C10" s="160"/>
      <c r="D10" s="132"/>
      <c r="E10" s="133"/>
      <c r="F10" s="132"/>
      <c r="G10" s="160"/>
      <c r="H10" s="132"/>
      <c r="I10" s="132"/>
      <c r="J10" s="132" t="s">
        <v>70</v>
      </c>
      <c r="K10" s="132" t="s">
        <v>80</v>
      </c>
      <c r="L10" s="190"/>
      <c r="M10" s="134"/>
      <c r="N10" s="134"/>
      <c r="O10" s="132"/>
      <c r="P10" s="160"/>
      <c r="Q10" s="132"/>
      <c r="R10" s="116"/>
    </row>
    <row r="11" spans="1:18" s="25" customFormat="1" ht="14.25" hidden="1">
      <c r="A11" s="135" t="s">
        <v>24</v>
      </c>
      <c r="B11" s="136" t="s">
        <v>51</v>
      </c>
      <c r="C11" s="171"/>
      <c r="D11" s="195"/>
      <c r="E11" s="215"/>
      <c r="F11" s="195"/>
      <c r="G11" s="161"/>
      <c r="H11" s="139"/>
      <c r="I11" s="139"/>
      <c r="J11" s="135" t="s">
        <v>24</v>
      </c>
      <c r="K11" s="136" t="s">
        <v>51</v>
      </c>
      <c r="L11" s="236"/>
      <c r="M11" s="138"/>
      <c r="N11" s="138"/>
      <c r="O11" s="225"/>
      <c r="P11" s="171"/>
      <c r="Q11" s="137"/>
      <c r="R11" s="24"/>
    </row>
    <row r="12" spans="1:18" s="25" customFormat="1" ht="15">
      <c r="A12" s="19" t="s">
        <v>24</v>
      </c>
      <c r="B12" s="20" t="s">
        <v>97</v>
      </c>
      <c r="C12" s="171"/>
      <c r="D12" s="195"/>
      <c r="E12" s="215"/>
      <c r="F12" s="195"/>
      <c r="G12" s="161"/>
      <c r="H12" s="139"/>
      <c r="I12" s="139"/>
      <c r="J12" s="19" t="s">
        <v>24</v>
      </c>
      <c r="K12" s="20" t="s">
        <v>97</v>
      </c>
      <c r="L12" s="236"/>
      <c r="M12" s="264"/>
      <c r="N12" s="143"/>
      <c r="O12" s="225"/>
      <c r="P12" s="171"/>
      <c r="Q12" s="137"/>
      <c r="R12" s="24"/>
    </row>
    <row r="13" spans="1:18" s="105" customFormat="1" ht="30">
      <c r="A13" s="221">
        <v>1</v>
      </c>
      <c r="B13" s="140" t="s">
        <v>112</v>
      </c>
      <c r="C13" s="277">
        <v>46293</v>
      </c>
      <c r="D13" s="257">
        <v>4</v>
      </c>
      <c r="E13" s="257">
        <v>4</v>
      </c>
      <c r="F13" s="257">
        <v>4</v>
      </c>
      <c r="G13" s="277">
        <v>46295</v>
      </c>
      <c r="H13" s="243">
        <v>1</v>
      </c>
      <c r="I13" s="243"/>
      <c r="J13" s="221">
        <v>1</v>
      </c>
      <c r="K13" s="140" t="s">
        <v>109</v>
      </c>
      <c r="L13" s="278">
        <v>46301</v>
      </c>
      <c r="M13" s="257">
        <v>1</v>
      </c>
      <c r="N13" s="258"/>
      <c r="O13" s="245"/>
      <c r="P13" s="277">
        <v>46301</v>
      </c>
      <c r="Q13" s="246"/>
      <c r="R13" s="247"/>
    </row>
    <row r="14" spans="1:18" s="105" customFormat="1" ht="60">
      <c r="A14" s="221">
        <v>2</v>
      </c>
      <c r="B14" s="140" t="s">
        <v>113</v>
      </c>
      <c r="C14" s="277">
        <v>46293</v>
      </c>
      <c r="D14" s="257">
        <v>3</v>
      </c>
      <c r="E14" s="257">
        <v>3</v>
      </c>
      <c r="F14" s="257">
        <v>3</v>
      </c>
      <c r="G14" s="277">
        <v>46296</v>
      </c>
      <c r="H14" s="243">
        <v>1</v>
      </c>
      <c r="I14" s="243"/>
      <c r="J14" s="221">
        <v>2</v>
      </c>
      <c r="K14" s="140" t="s">
        <v>101</v>
      </c>
      <c r="L14" s="278">
        <v>46302</v>
      </c>
      <c r="M14" s="257">
        <v>2</v>
      </c>
      <c r="N14" s="258"/>
      <c r="O14" s="245"/>
      <c r="P14" s="277">
        <v>46302</v>
      </c>
      <c r="Q14" s="246"/>
      <c r="R14" s="247"/>
    </row>
    <row r="15" spans="1:18" s="105" customFormat="1" ht="75">
      <c r="A15" s="221">
        <v>3</v>
      </c>
      <c r="B15" s="140" t="s">
        <v>102</v>
      </c>
      <c r="C15" s="277">
        <v>46296</v>
      </c>
      <c r="D15" s="257">
        <v>3</v>
      </c>
      <c r="E15" s="257">
        <v>3</v>
      </c>
      <c r="F15" s="257">
        <v>3</v>
      </c>
      <c r="G15" s="277">
        <v>46297</v>
      </c>
      <c r="H15" s="243">
        <v>1</v>
      </c>
      <c r="I15" s="243"/>
      <c r="J15" s="221">
        <v>3</v>
      </c>
      <c r="K15" s="140" t="s">
        <v>110</v>
      </c>
      <c r="L15" s="278">
        <v>46301</v>
      </c>
      <c r="M15" s="257">
        <v>2</v>
      </c>
      <c r="N15" s="258"/>
      <c r="O15" s="245"/>
      <c r="P15" s="277">
        <v>46301</v>
      </c>
      <c r="Q15" s="246"/>
      <c r="R15" s="247"/>
    </row>
    <row r="16" spans="1:18" s="25" customFormat="1" ht="60">
      <c r="A16" s="221">
        <v>4</v>
      </c>
      <c r="B16" s="140" t="s">
        <v>103</v>
      </c>
      <c r="C16" s="277">
        <v>46294</v>
      </c>
      <c r="D16" s="108">
        <v>8</v>
      </c>
      <c r="E16" s="108">
        <v>8</v>
      </c>
      <c r="F16" s="108">
        <v>8</v>
      </c>
      <c r="G16" s="279">
        <v>46294</v>
      </c>
      <c r="H16" s="243">
        <v>1</v>
      </c>
      <c r="I16" s="221"/>
      <c r="J16" s="221">
        <v>4</v>
      </c>
      <c r="K16" s="140" t="s">
        <v>104</v>
      </c>
      <c r="L16" s="278">
        <v>46302</v>
      </c>
      <c r="M16" s="257">
        <v>4</v>
      </c>
      <c r="N16" s="258"/>
      <c r="O16" s="221"/>
      <c r="P16" s="277">
        <v>46303</v>
      </c>
      <c r="Q16" s="246"/>
      <c r="R16" s="248"/>
    </row>
    <row r="17" spans="1:21" s="105" customFormat="1" ht="60">
      <c r="A17" s="250">
        <v>5</v>
      </c>
      <c r="B17" s="140" t="s">
        <v>105</v>
      </c>
      <c r="C17" s="277">
        <v>46295</v>
      </c>
      <c r="D17" s="257">
        <v>2</v>
      </c>
      <c r="E17" s="257">
        <v>2</v>
      </c>
      <c r="F17" s="257">
        <v>2</v>
      </c>
      <c r="G17" s="277">
        <v>46296</v>
      </c>
      <c r="H17" s="243">
        <v>1</v>
      </c>
      <c r="I17" s="243"/>
      <c r="J17" s="250">
        <v>5</v>
      </c>
      <c r="K17" s="140" t="s">
        <v>106</v>
      </c>
      <c r="L17" s="277">
        <v>46303</v>
      </c>
      <c r="M17" s="181">
        <v>2</v>
      </c>
      <c r="N17" s="258"/>
      <c r="O17" s="245"/>
      <c r="P17" s="277">
        <v>46304</v>
      </c>
      <c r="Q17" s="251"/>
      <c r="R17" s="248"/>
    </row>
    <row r="18" spans="1:21" s="105" customFormat="1" ht="60">
      <c r="A18" s="250">
        <v>6</v>
      </c>
      <c r="B18" s="140" t="s">
        <v>107</v>
      </c>
      <c r="C18" s="277">
        <v>46295</v>
      </c>
      <c r="D18" s="258">
        <v>4</v>
      </c>
      <c r="E18" s="258">
        <v>4</v>
      </c>
      <c r="F18" s="258">
        <v>4</v>
      </c>
      <c r="G18" s="277">
        <v>46296</v>
      </c>
      <c r="H18" s="243">
        <v>1</v>
      </c>
      <c r="I18" s="243"/>
      <c r="J18" s="250">
        <v>6</v>
      </c>
      <c r="K18" s="140" t="s">
        <v>111</v>
      </c>
      <c r="L18" s="277">
        <v>46304</v>
      </c>
      <c r="M18" s="108">
        <v>8</v>
      </c>
      <c r="N18" s="258"/>
      <c r="O18" s="245"/>
      <c r="P18" s="277">
        <v>46304</v>
      </c>
      <c r="Q18" s="251"/>
      <c r="R18" s="248"/>
    </row>
    <row r="19" spans="1:21" s="105" customFormat="1" ht="60">
      <c r="A19" s="250">
        <v>7</v>
      </c>
      <c r="B19" s="140" t="s">
        <v>108</v>
      </c>
      <c r="C19" s="277">
        <v>46297</v>
      </c>
      <c r="D19" s="258">
        <v>4</v>
      </c>
      <c r="E19" s="258">
        <v>2</v>
      </c>
      <c r="F19" s="258">
        <v>2</v>
      </c>
      <c r="G19" s="277">
        <v>46297</v>
      </c>
      <c r="H19" s="243">
        <v>0.5</v>
      </c>
      <c r="I19" s="243"/>
      <c r="J19" s="250">
        <v>7</v>
      </c>
      <c r="K19" s="140" t="s">
        <v>108</v>
      </c>
      <c r="L19" s="277">
        <v>46297</v>
      </c>
      <c r="M19" s="108">
        <v>4</v>
      </c>
      <c r="N19" s="257">
        <v>2</v>
      </c>
      <c r="O19" s="245"/>
      <c r="P19" s="277">
        <v>46303</v>
      </c>
      <c r="Q19" s="251"/>
      <c r="R19" s="248"/>
    </row>
    <row r="20" spans="1:21" s="105" customFormat="1" ht="15">
      <c r="A20" s="250"/>
      <c r="B20" s="140"/>
      <c r="C20" s="241"/>
      <c r="D20" s="258"/>
      <c r="E20" s="258"/>
      <c r="F20" s="259"/>
      <c r="G20" s="241"/>
      <c r="H20" s="243"/>
      <c r="I20" s="243"/>
      <c r="J20" s="250">
        <v>8</v>
      </c>
      <c r="K20" s="140" t="s">
        <v>115</v>
      </c>
      <c r="L20" s="277">
        <v>46304</v>
      </c>
      <c r="M20" s="108">
        <v>4</v>
      </c>
      <c r="N20" s="258"/>
      <c r="O20" s="245"/>
      <c r="P20" s="277">
        <v>46304</v>
      </c>
      <c r="Q20" s="251"/>
      <c r="R20" s="248"/>
    </row>
    <row r="21" spans="1:21" s="25" customFormat="1" ht="15">
      <c r="A21" s="265" t="s">
        <v>25</v>
      </c>
      <c r="B21" s="266" t="s">
        <v>98</v>
      </c>
      <c r="C21" s="267"/>
      <c r="D21" s="268"/>
      <c r="E21" s="269"/>
      <c r="F21" s="268"/>
      <c r="G21" s="270"/>
      <c r="H21" s="268"/>
      <c r="I21" s="268"/>
      <c r="J21" s="265" t="s">
        <v>25</v>
      </c>
      <c r="K21" s="266" t="s">
        <v>98</v>
      </c>
      <c r="L21" s="271"/>
      <c r="M21" s="272"/>
      <c r="N21" s="273"/>
      <c r="O21" s="274"/>
      <c r="P21" s="275"/>
      <c r="Q21" s="276"/>
      <c r="R21" s="24"/>
    </row>
    <row r="22" spans="1:21" s="105" customFormat="1" ht="45">
      <c r="A22" s="221">
        <v>1</v>
      </c>
      <c r="B22" s="140" t="s">
        <v>121</v>
      </c>
      <c r="C22" s="277">
        <v>46293</v>
      </c>
      <c r="D22" s="258">
        <v>1</v>
      </c>
      <c r="E22" s="258">
        <v>1</v>
      </c>
      <c r="F22" s="221">
        <v>1</v>
      </c>
      <c r="G22" s="279">
        <v>46324</v>
      </c>
      <c r="H22" s="243">
        <v>1</v>
      </c>
      <c r="I22" s="243"/>
      <c r="J22" s="221">
        <v>1</v>
      </c>
      <c r="K22" s="140" t="s">
        <v>120</v>
      </c>
      <c r="L22" s="278">
        <v>46301</v>
      </c>
      <c r="M22" s="258">
        <v>4</v>
      </c>
      <c r="N22" s="258">
        <v>0</v>
      </c>
      <c r="O22" s="221"/>
      <c r="P22" s="277">
        <v>46304</v>
      </c>
      <c r="Q22" s="246"/>
      <c r="R22" s="247"/>
    </row>
    <row r="23" spans="1:21" s="105" customFormat="1" ht="45">
      <c r="A23" s="221">
        <v>2</v>
      </c>
      <c r="B23" s="140" t="s">
        <v>116</v>
      </c>
      <c r="C23" s="277">
        <v>46294</v>
      </c>
      <c r="D23" s="258">
        <v>4</v>
      </c>
      <c r="E23" s="258">
        <v>4</v>
      </c>
      <c r="F23" s="221">
        <v>4</v>
      </c>
      <c r="G23" s="279">
        <v>46297</v>
      </c>
      <c r="H23" s="243">
        <v>1</v>
      </c>
      <c r="I23" s="243"/>
      <c r="J23" s="221">
        <v>2</v>
      </c>
      <c r="K23" s="140" t="s">
        <v>117</v>
      </c>
      <c r="L23" s="278">
        <v>46302</v>
      </c>
      <c r="M23" s="258">
        <v>4</v>
      </c>
      <c r="N23" s="258">
        <v>0</v>
      </c>
      <c r="O23" s="221"/>
      <c r="P23" s="241">
        <v>46305</v>
      </c>
      <c r="Q23" s="246"/>
      <c r="R23" s="247"/>
    </row>
    <row r="24" spans="1:21" s="105" customFormat="1" ht="45">
      <c r="A24" s="221">
        <v>3</v>
      </c>
      <c r="B24" s="140" t="s">
        <v>118</v>
      </c>
      <c r="C24" s="277">
        <v>46297</v>
      </c>
      <c r="D24" s="258">
        <v>8</v>
      </c>
      <c r="E24" s="258">
        <v>8</v>
      </c>
      <c r="F24" s="221">
        <v>8</v>
      </c>
      <c r="G24" s="279">
        <v>46302</v>
      </c>
      <c r="H24" s="243">
        <v>0</v>
      </c>
      <c r="I24" s="243"/>
      <c r="J24" s="221">
        <v>3</v>
      </c>
      <c r="K24" s="140" t="s">
        <v>118</v>
      </c>
      <c r="L24" s="277">
        <v>46297</v>
      </c>
      <c r="M24" s="258">
        <v>8</v>
      </c>
      <c r="N24" s="258">
        <v>0</v>
      </c>
      <c r="O24" s="221"/>
      <c r="P24" s="277">
        <v>46302</v>
      </c>
      <c r="Q24" s="246"/>
      <c r="R24" s="247"/>
    </row>
    <row r="25" spans="1:21" s="25" customFormat="1" ht="15" hidden="1">
      <c r="A25" s="135" t="s">
        <v>52</v>
      </c>
      <c r="B25" s="136" t="s">
        <v>53</v>
      </c>
      <c r="C25" s="171"/>
      <c r="D25" s="261"/>
      <c r="E25" s="263"/>
      <c r="F25" s="139"/>
      <c r="G25" s="161"/>
      <c r="H25" s="139"/>
      <c r="I25" s="139"/>
      <c r="J25" s="135" t="s">
        <v>52</v>
      </c>
      <c r="K25" s="136" t="s">
        <v>53</v>
      </c>
      <c r="L25" s="236"/>
      <c r="M25" s="260"/>
      <c r="N25" s="261"/>
      <c r="O25" s="225"/>
      <c r="P25" s="171"/>
      <c r="Q25" s="137"/>
      <c r="R25" s="24"/>
    </row>
    <row r="26" spans="1:21" s="25" customFormat="1" ht="30">
      <c r="A26" s="135"/>
      <c r="B26" s="136"/>
      <c r="C26" s="171"/>
      <c r="D26" s="261"/>
      <c r="E26" s="263"/>
      <c r="F26" s="139"/>
      <c r="G26" s="161"/>
      <c r="H26" s="139"/>
      <c r="I26" s="139"/>
      <c r="J26" s="221">
        <v>4</v>
      </c>
      <c r="K26" s="140" t="s">
        <v>119</v>
      </c>
      <c r="L26" s="244">
        <v>46244</v>
      </c>
      <c r="M26" s="258">
        <v>4</v>
      </c>
      <c r="N26" s="261"/>
      <c r="O26" s="225"/>
      <c r="P26" s="241">
        <v>46366</v>
      </c>
      <c r="Q26" s="137"/>
      <c r="R26" s="24"/>
    </row>
    <row r="27" spans="1:21" s="31" customFormat="1" ht="15">
      <c r="A27" s="221"/>
      <c r="B27" s="140"/>
      <c r="C27" s="148"/>
      <c r="D27" s="261"/>
      <c r="E27" s="261"/>
      <c r="F27" s="146"/>
      <c r="G27" s="165"/>
      <c r="H27" s="185"/>
      <c r="I27" s="185"/>
      <c r="J27" s="221"/>
      <c r="K27" s="140"/>
      <c r="L27" s="207"/>
      <c r="M27" s="262"/>
      <c r="N27" s="261"/>
      <c r="O27" s="146"/>
      <c r="P27" s="148"/>
      <c r="Q27" s="40"/>
      <c r="R27" s="184"/>
    </row>
    <row r="28" spans="1:21" s="105" customFormat="1" ht="15" hidden="1">
      <c r="A28" s="108"/>
      <c r="B28" s="147"/>
      <c r="C28" s="148"/>
      <c r="D28" s="149"/>
      <c r="E28" s="149"/>
      <c r="F28" s="141"/>
      <c r="G28" s="165"/>
      <c r="H28" s="185"/>
      <c r="I28" s="185"/>
      <c r="J28" s="108"/>
      <c r="K28" s="147"/>
      <c r="L28" s="207"/>
      <c r="M28" s="142"/>
      <c r="N28" s="149"/>
      <c r="O28" s="146"/>
      <c r="P28" s="148"/>
      <c r="Q28" s="196"/>
      <c r="R28" s="117"/>
    </row>
    <row r="29" spans="1:21" s="105" customFormat="1" ht="15" hidden="1">
      <c r="A29" s="108"/>
      <c r="B29" s="147"/>
      <c r="C29" s="148"/>
      <c r="D29" s="149"/>
      <c r="E29" s="149"/>
      <c r="F29" s="141"/>
      <c r="G29" s="165"/>
      <c r="H29" s="185"/>
      <c r="I29" s="185"/>
      <c r="J29" s="108"/>
      <c r="K29" s="147"/>
      <c r="L29" s="207"/>
      <c r="M29" s="142"/>
      <c r="N29" s="149"/>
      <c r="O29" s="146"/>
      <c r="P29" s="148"/>
      <c r="Q29" s="196"/>
      <c r="R29" s="117"/>
    </row>
    <row r="30" spans="1:21" s="105" customFormat="1" ht="15" hidden="1">
      <c r="A30" s="108"/>
      <c r="B30" s="147"/>
      <c r="C30" s="148"/>
      <c r="D30" s="149"/>
      <c r="E30" s="149"/>
      <c r="F30" s="141"/>
      <c r="G30" s="165"/>
      <c r="H30" s="185"/>
      <c r="I30" s="185"/>
      <c r="J30" s="108"/>
      <c r="K30" s="147"/>
      <c r="L30" s="207"/>
      <c r="M30" s="142"/>
      <c r="N30" s="149"/>
      <c r="O30" s="146"/>
      <c r="P30" s="148"/>
      <c r="Q30" s="196"/>
      <c r="R30" s="117"/>
    </row>
    <row r="31" spans="1:21" s="25" customFormat="1" ht="28.5" hidden="1">
      <c r="A31" s="135" t="s">
        <v>55</v>
      </c>
      <c r="B31" s="136" t="s">
        <v>54</v>
      </c>
      <c r="C31" s="171"/>
      <c r="D31" s="195"/>
      <c r="E31" s="215"/>
      <c r="F31" s="195"/>
      <c r="G31" s="161"/>
      <c r="H31" s="139"/>
      <c r="I31" s="139"/>
      <c r="J31" s="135" t="s">
        <v>55</v>
      </c>
      <c r="K31" s="136" t="s">
        <v>54</v>
      </c>
      <c r="L31" s="236"/>
      <c r="M31" s="138"/>
      <c r="N31" s="143"/>
      <c r="O31" s="225"/>
      <c r="P31" s="171"/>
      <c r="Q31" s="137"/>
      <c r="R31" s="24"/>
      <c r="T31" s="31"/>
      <c r="U31" s="31"/>
    </row>
    <row r="32" spans="1:21" s="25" customFormat="1" ht="15" hidden="1">
      <c r="A32" s="135" t="s">
        <v>55</v>
      </c>
      <c r="B32" s="136" t="s">
        <v>74</v>
      </c>
      <c r="C32" s="171"/>
      <c r="D32" s="195"/>
      <c r="E32" s="215"/>
      <c r="F32" s="195"/>
      <c r="G32" s="161"/>
      <c r="H32" s="139"/>
      <c r="I32" s="139"/>
      <c r="J32" s="135" t="s">
        <v>55</v>
      </c>
      <c r="K32" s="136" t="s">
        <v>74</v>
      </c>
      <c r="L32" s="236"/>
      <c r="M32" s="138"/>
      <c r="N32" s="143"/>
      <c r="O32" s="225"/>
      <c r="P32" s="171"/>
      <c r="Q32" s="137"/>
      <c r="R32" s="24"/>
      <c r="U32" s="31"/>
    </row>
    <row r="33" spans="1:18" s="119" customFormat="1" ht="14.25">
      <c r="A33" s="166" t="s">
        <v>71</v>
      </c>
      <c r="B33" s="151" t="s">
        <v>72</v>
      </c>
      <c r="C33" s="167"/>
      <c r="D33" s="152"/>
      <c r="E33" s="153"/>
      <c r="F33" s="168"/>
      <c r="G33" s="197"/>
      <c r="H33" s="169"/>
      <c r="I33" s="169"/>
      <c r="J33" s="166" t="s">
        <v>71</v>
      </c>
      <c r="K33" s="151" t="s">
        <v>72</v>
      </c>
      <c r="L33" s="237"/>
      <c r="M33" s="155"/>
      <c r="N33" s="156"/>
      <c r="O33" s="209"/>
      <c r="P33" s="193"/>
      <c r="Q33" s="157"/>
      <c r="R33" s="118"/>
    </row>
    <row r="34" spans="1:18" s="25" customFormat="1" ht="14.25" hidden="1">
      <c r="A34" s="170" t="s">
        <v>24</v>
      </c>
      <c r="B34" s="136" t="s">
        <v>93</v>
      </c>
      <c r="C34" s="171"/>
      <c r="D34" s="172"/>
      <c r="E34" s="173"/>
      <c r="F34" s="174"/>
      <c r="G34" s="198"/>
      <c r="H34" s="175"/>
      <c r="I34" s="175"/>
      <c r="J34" s="170"/>
      <c r="K34" s="136"/>
      <c r="L34" s="236"/>
      <c r="M34" s="138"/>
      <c r="N34" s="176"/>
      <c r="O34" s="210"/>
      <c r="P34" s="194"/>
      <c r="Q34" s="158"/>
      <c r="R34" s="24"/>
    </row>
    <row r="35" spans="1:18" s="31" customFormat="1" ht="15" hidden="1">
      <c r="A35" s="107"/>
      <c r="B35" s="140"/>
      <c r="C35" s="148"/>
      <c r="D35" s="141"/>
      <c r="E35" s="149"/>
      <c r="F35" s="162"/>
      <c r="G35" s="191"/>
      <c r="H35" s="185"/>
      <c r="I35" s="185"/>
      <c r="J35" s="107"/>
      <c r="K35" s="140"/>
      <c r="L35" s="207"/>
      <c r="M35" s="87"/>
      <c r="N35" s="143"/>
      <c r="O35" s="144"/>
      <c r="P35" s="192"/>
      <c r="Q35" s="145"/>
      <c r="R35" s="184"/>
    </row>
    <row r="36" spans="1:18" s="25" customFormat="1" ht="14.25" hidden="1">
      <c r="A36" s="170"/>
      <c r="B36" s="136"/>
      <c r="C36" s="171"/>
      <c r="D36" s="172"/>
      <c r="E36" s="173"/>
      <c r="F36" s="174"/>
      <c r="G36" s="198"/>
      <c r="H36" s="175"/>
      <c r="I36" s="175"/>
      <c r="J36" s="170"/>
      <c r="K36" s="136"/>
      <c r="L36" s="236"/>
      <c r="M36" s="138"/>
      <c r="N36" s="176"/>
      <c r="O36" s="210"/>
      <c r="P36" s="194"/>
      <c r="Q36" s="158"/>
      <c r="R36" s="24"/>
    </row>
    <row r="37" spans="1:18" s="105" customFormat="1" ht="15" hidden="1">
      <c r="A37" s="164"/>
      <c r="B37" s="147"/>
      <c r="C37" s="148"/>
      <c r="D37" s="141"/>
      <c r="E37" s="149"/>
      <c r="F37" s="162"/>
      <c r="G37" s="191"/>
      <c r="H37" s="144"/>
      <c r="I37" s="144"/>
      <c r="J37" s="164"/>
      <c r="K37" s="147"/>
      <c r="L37" s="228"/>
      <c r="M37" s="229"/>
      <c r="N37" s="224"/>
      <c r="O37" s="144"/>
      <c r="P37" s="192"/>
      <c r="Q37" s="129"/>
      <c r="R37" s="117"/>
    </row>
    <row r="38" spans="1:18" s="31" customFormat="1" ht="15" hidden="1">
      <c r="A38" s="107"/>
      <c r="B38" s="140"/>
      <c r="C38" s="148"/>
      <c r="D38" s="141"/>
      <c r="E38" s="149"/>
      <c r="F38" s="162"/>
      <c r="G38" s="191"/>
      <c r="H38" s="163"/>
      <c r="I38" s="163"/>
      <c r="J38" s="107"/>
      <c r="K38" s="140"/>
      <c r="L38" s="207"/>
      <c r="M38" s="121"/>
      <c r="N38" s="143"/>
      <c r="O38" s="144"/>
      <c r="P38" s="192"/>
      <c r="Q38" s="145"/>
      <c r="R38" s="184"/>
    </row>
    <row r="39" spans="1:18" s="119" customFormat="1" ht="15">
      <c r="A39" s="177" t="s">
        <v>81</v>
      </c>
      <c r="B39" s="151" t="s">
        <v>73</v>
      </c>
      <c r="C39" s="167"/>
      <c r="D39" s="199"/>
      <c r="E39" s="216"/>
      <c r="F39" s="199"/>
      <c r="G39" s="178"/>
      <c r="H39" s="150"/>
      <c r="I39" s="150"/>
      <c r="J39" s="177" t="s">
        <v>81</v>
      </c>
      <c r="K39" s="151" t="s">
        <v>73</v>
      </c>
      <c r="L39" s="237"/>
      <c r="M39" s="155"/>
      <c r="N39" s="180"/>
      <c r="O39" s="154"/>
      <c r="P39" s="167"/>
      <c r="Q39" s="179"/>
      <c r="R39" s="118"/>
    </row>
    <row r="40" spans="1:18" s="105" customFormat="1" ht="15">
      <c r="A40" s="221"/>
      <c r="B40" s="140"/>
      <c r="C40" s="241"/>
      <c r="D40" s="249"/>
      <c r="E40" s="252"/>
      <c r="F40" s="242"/>
      <c r="G40" s="253"/>
      <c r="H40" s="243"/>
      <c r="I40" s="243"/>
      <c r="J40" s="221"/>
      <c r="K40" s="140"/>
      <c r="L40" s="254"/>
      <c r="M40" s="255"/>
      <c r="N40" s="256"/>
      <c r="O40" s="221"/>
      <c r="P40" s="241"/>
      <c r="Q40" s="246"/>
      <c r="R40" s="247"/>
    </row>
    <row r="41" spans="1:18" s="31" customFormat="1" ht="15">
      <c r="A41" s="221"/>
      <c r="B41" s="140"/>
      <c r="C41" s="148"/>
      <c r="D41" s="200"/>
      <c r="E41" s="222"/>
      <c r="F41" s="200"/>
      <c r="G41" s="120"/>
      <c r="H41" s="41"/>
      <c r="I41" s="41"/>
      <c r="J41" s="221"/>
      <c r="K41" s="140"/>
      <c r="L41" s="228"/>
      <c r="M41" s="223"/>
      <c r="N41" s="224"/>
      <c r="O41" s="146"/>
      <c r="P41" s="148"/>
      <c r="Q41" s="40"/>
      <c r="R41" s="184"/>
    </row>
    <row r="42" spans="1:18" ht="15">
      <c r="A42" s="41"/>
      <c r="B42" s="41" t="s">
        <v>26</v>
      </c>
      <c r="C42" s="146"/>
      <c r="D42" s="41"/>
      <c r="E42" s="208"/>
      <c r="F42" s="200">
        <f>SUM(F13:F19,F22,F23,F24)</f>
        <v>39</v>
      </c>
      <c r="G42" s="120"/>
      <c r="H42" s="41"/>
      <c r="I42" s="41"/>
      <c r="J42" s="40"/>
      <c r="K42" s="41" t="s">
        <v>26</v>
      </c>
      <c r="L42" s="207"/>
      <c r="M42" s="87"/>
      <c r="N42" s="87"/>
      <c r="O42" s="141">
        <f>SUM(O12:O39)</f>
        <v>0</v>
      </c>
      <c r="P42" s="148"/>
      <c r="Q42" s="40"/>
      <c r="R42" s="24"/>
    </row>
    <row r="43" spans="1:18" s="31" customFormat="1" ht="15">
      <c r="A43" s="41"/>
      <c r="B43" s="41" t="s">
        <v>27</v>
      </c>
      <c r="C43" s="148"/>
      <c r="D43" s="41"/>
      <c r="E43" s="208"/>
      <c r="F43" s="200">
        <v>44</v>
      </c>
      <c r="G43" s="120"/>
      <c r="H43" s="41"/>
      <c r="I43" s="41"/>
      <c r="J43" s="40"/>
      <c r="K43" s="41" t="s">
        <v>27</v>
      </c>
      <c r="L43" s="207"/>
      <c r="M43" s="87"/>
      <c r="N43" s="87"/>
      <c r="O43" s="141">
        <v>44</v>
      </c>
      <c r="P43" s="148"/>
      <c r="Q43" s="40"/>
      <c r="R43" s="24"/>
    </row>
    <row r="44" spans="1:18" s="31" customFormat="1" ht="15">
      <c r="A44" s="41"/>
      <c r="B44" s="41" t="s">
        <v>28</v>
      </c>
      <c r="C44" s="185"/>
      <c r="D44" s="41"/>
      <c r="E44" s="208"/>
      <c r="F44" s="295">
        <f>(F42/F43)</f>
        <v>0.88636363636363635</v>
      </c>
      <c r="G44" s="120"/>
      <c r="H44" s="41"/>
      <c r="I44" s="41"/>
      <c r="J44" s="40"/>
      <c r="K44" s="41" t="s">
        <v>28</v>
      </c>
      <c r="L44" s="207"/>
      <c r="M44" s="87"/>
      <c r="N44" s="87"/>
      <c r="O44" s="185">
        <f>O42/O43</f>
        <v>0</v>
      </c>
      <c r="P44" s="148"/>
      <c r="Q44" s="40"/>
      <c r="R44" s="24"/>
    </row>
    <row r="45" spans="1:18" ht="15" hidden="1">
      <c r="A45" s="106"/>
      <c r="B45" s="10"/>
      <c r="C45" s="233"/>
      <c r="D45" s="48"/>
      <c r="E45" s="125"/>
      <c r="F45" s="48"/>
      <c r="G45" s="122"/>
      <c r="H45" s="48"/>
      <c r="I45" s="48"/>
      <c r="J45" s="10"/>
      <c r="K45" s="10"/>
      <c r="L45" s="204"/>
      <c r="M45" s="88"/>
      <c r="N45" s="88"/>
      <c r="O45" s="100"/>
      <c r="P45" s="233"/>
      <c r="Q45" s="10"/>
      <c r="R45" s="45"/>
    </row>
    <row r="46" spans="1:18" ht="8.25" customHeight="1">
      <c r="A46" s="106"/>
      <c r="B46" s="10"/>
      <c r="C46" s="233"/>
      <c r="D46" s="48"/>
      <c r="E46" s="125"/>
      <c r="F46" s="48"/>
      <c r="G46" s="122"/>
      <c r="H46" s="48"/>
      <c r="I46" s="48"/>
      <c r="J46" s="10"/>
      <c r="K46" s="10"/>
      <c r="L46" s="204"/>
      <c r="M46" s="88"/>
      <c r="N46" s="88"/>
      <c r="O46" s="100"/>
      <c r="P46" s="233"/>
      <c r="Q46" s="10"/>
      <c r="R46" s="45"/>
    </row>
    <row r="47" spans="1:18" s="46" customFormat="1" ht="15.75" customHeight="1">
      <c r="B47" s="47"/>
      <c r="C47" s="232"/>
      <c r="D47" s="47"/>
      <c r="E47" s="124"/>
      <c r="F47" s="47"/>
      <c r="G47" s="123"/>
      <c r="H47" s="47"/>
      <c r="I47" s="47"/>
      <c r="J47" s="47"/>
      <c r="K47" s="47"/>
      <c r="L47" s="238" t="s">
        <v>29</v>
      </c>
      <c r="M47" s="89"/>
      <c r="N47" s="98"/>
      <c r="O47" s="203"/>
      <c r="P47" s="232"/>
      <c r="Q47" s="47"/>
      <c r="R47" s="47"/>
    </row>
    <row r="48" spans="1:18" s="45" customFormat="1" ht="14.25">
      <c r="A48" s="48"/>
      <c r="C48" s="233"/>
      <c r="D48" s="48"/>
      <c r="E48" s="125"/>
      <c r="F48" s="48" t="s">
        <v>30</v>
      </c>
      <c r="G48" s="122"/>
      <c r="H48" s="48"/>
      <c r="I48" s="48"/>
      <c r="J48" s="10"/>
      <c r="K48" s="10"/>
      <c r="L48" s="204" t="s">
        <v>31</v>
      </c>
      <c r="M48" s="90"/>
      <c r="N48" s="88"/>
      <c r="O48" s="100"/>
      <c r="P48" s="233"/>
      <c r="Q48" s="10"/>
    </row>
    <row r="49" spans="1:17" s="45" customFormat="1" ht="13.5" customHeight="1">
      <c r="A49" s="48"/>
      <c r="B49" s="48"/>
      <c r="C49" s="233"/>
      <c r="D49" s="48"/>
      <c r="E49" s="125"/>
      <c r="F49" s="48"/>
      <c r="G49" s="122"/>
      <c r="H49" s="48"/>
      <c r="I49" s="48"/>
      <c r="J49" s="10"/>
      <c r="K49" s="10"/>
      <c r="L49" s="204"/>
      <c r="M49" s="90"/>
      <c r="N49" s="88"/>
      <c r="O49" s="100"/>
      <c r="P49" s="233"/>
      <c r="Q49" s="10"/>
    </row>
    <row r="50" spans="1:17" s="49" customFormat="1" ht="15.75">
      <c r="A50" s="103"/>
      <c r="B50" s="50" t="s">
        <v>32</v>
      </c>
      <c r="C50" s="230"/>
      <c r="D50" s="217"/>
      <c r="E50" s="218"/>
      <c r="F50" s="103"/>
      <c r="G50" s="126"/>
      <c r="H50" s="103"/>
      <c r="I50" s="103"/>
      <c r="L50" s="239"/>
      <c r="M50" s="91"/>
      <c r="N50" s="99"/>
      <c r="O50" s="187"/>
      <c r="P50" s="230"/>
    </row>
    <row r="51" spans="1:17" s="4" customFormat="1" ht="15">
      <c r="A51" s="106"/>
      <c r="B51" s="201" t="s">
        <v>33</v>
      </c>
      <c r="C51" s="104"/>
      <c r="D51" s="219"/>
      <c r="E51" s="213"/>
      <c r="F51" s="106"/>
      <c r="G51" s="111"/>
      <c r="H51" s="106"/>
      <c r="I51" s="106"/>
      <c r="L51" s="206"/>
      <c r="M51" s="186"/>
      <c r="N51" s="78"/>
      <c r="O51" s="101"/>
      <c r="P51" s="104"/>
    </row>
    <row r="52" spans="1:17">
      <c r="B52" s="54" t="s">
        <v>34</v>
      </c>
      <c r="D52" s="211"/>
      <c r="M52" s="92"/>
    </row>
    <row r="53" spans="1:17">
      <c r="B53" s="54" t="s">
        <v>35</v>
      </c>
      <c r="D53" s="211"/>
      <c r="M53" s="92"/>
    </row>
    <row r="54" spans="1:17">
      <c r="B54" s="54" t="s">
        <v>36</v>
      </c>
      <c r="D54" s="211"/>
      <c r="M54" s="92"/>
    </row>
    <row r="55" spans="1:17">
      <c r="B55" s="54" t="s">
        <v>37</v>
      </c>
      <c r="D55" s="211"/>
      <c r="M55" s="92"/>
    </row>
    <row r="56" spans="1:17">
      <c r="B56" s="54" t="s">
        <v>38</v>
      </c>
      <c r="D56" s="211"/>
      <c r="M56" s="92"/>
    </row>
    <row r="57" spans="1:17">
      <c r="B57" s="54" t="str">
        <f>'[1]KHTuan BDH'!A31</f>
        <v>+ Fonts chữ sử dụng cho phần nội dung: Times New Roman (Cỡ chữ 10~12).</v>
      </c>
      <c r="D57" s="211"/>
      <c r="M57" s="92"/>
    </row>
    <row r="58" spans="1:17">
      <c r="B58" s="56" t="s">
        <v>39</v>
      </c>
      <c r="C58" s="231"/>
      <c r="D58" s="128"/>
      <c r="E58" s="220"/>
      <c r="F58" s="128"/>
      <c r="G58" s="127"/>
      <c r="H58" s="128"/>
      <c r="I58" s="128"/>
      <c r="J58" s="56"/>
      <c r="K58" s="56"/>
      <c r="L58" s="240"/>
      <c r="M58" s="93"/>
      <c r="N58" s="93"/>
      <c r="O58" s="189"/>
      <c r="P58" s="231"/>
      <c r="Q58" s="57"/>
    </row>
    <row r="59" spans="1:17">
      <c r="B59" s="281" t="s">
        <v>82</v>
      </c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57"/>
    </row>
    <row r="60" spans="1:17">
      <c r="B60" s="281" t="s">
        <v>83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57"/>
    </row>
    <row r="61" spans="1:17">
      <c r="B61" s="56" t="s">
        <v>84</v>
      </c>
    </row>
    <row r="62" spans="1:17">
      <c r="B62" s="56" t="s">
        <v>85</v>
      </c>
    </row>
    <row r="63" spans="1:17">
      <c r="B63" s="56" t="s">
        <v>86</v>
      </c>
    </row>
    <row r="64" spans="1:17">
      <c r="B64" s="56" t="s">
        <v>87</v>
      </c>
    </row>
    <row r="65" spans="2:17">
      <c r="B65" s="56" t="s">
        <v>88</v>
      </c>
    </row>
    <row r="66" spans="2:17">
      <c r="B66" s="56" t="s">
        <v>89</v>
      </c>
    </row>
    <row r="67" spans="2:17">
      <c r="B67" s="56" t="s">
        <v>90</v>
      </c>
    </row>
    <row r="68" spans="2:17">
      <c r="B68" s="56" t="s">
        <v>91</v>
      </c>
    </row>
    <row r="69" spans="2:17">
      <c r="B69" s="56" t="s">
        <v>92</v>
      </c>
    </row>
    <row r="70" spans="2:17"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57"/>
    </row>
    <row r="71" spans="2:17">
      <c r="B71" s="56"/>
    </row>
    <row r="82" spans="11:15">
      <c r="K82" s="58"/>
      <c r="O82" s="188"/>
    </row>
  </sheetData>
  <mergeCells count="14">
    <mergeCell ref="Q7:Q8"/>
    <mergeCell ref="B59:P59"/>
    <mergeCell ref="B60:P60"/>
    <mergeCell ref="B70:P70"/>
    <mergeCell ref="A6:I6"/>
    <mergeCell ref="J6:Q6"/>
    <mergeCell ref="A7:A8"/>
    <mergeCell ref="B7:B8"/>
    <mergeCell ref="C7:G7"/>
    <mergeCell ref="H7:H8"/>
    <mergeCell ref="I7:I8"/>
    <mergeCell ref="J7:J8"/>
    <mergeCell ref="K7:K8"/>
    <mergeCell ref="L7:P7"/>
  </mergeCells>
  <printOptions horizontalCentered="1"/>
  <pageMargins left="0.23" right="0" top="0.18" bottom="0.17" header="0.23" footer="0.17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KH Tuan ca nhan (mẫu)</vt:lpstr>
      <vt:lpstr>Thắng</vt:lpstr>
      <vt:lpstr>'KH Tuan ca nhan (mẫu)'!Print_Area</vt:lpstr>
      <vt:lpstr>Thắng!Print_Area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Dương Trọng Thắng</cp:lastModifiedBy>
  <cp:lastPrinted>2026-10-06T02:32:16Z</cp:lastPrinted>
  <dcterms:created xsi:type="dcterms:W3CDTF">2019-11-27T03:06:59Z</dcterms:created>
  <dcterms:modified xsi:type="dcterms:W3CDTF">2026-10-07T06:41:48Z</dcterms:modified>
</cp:coreProperties>
</file>